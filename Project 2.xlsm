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gov\Desktop\"/>
    </mc:Choice>
  </mc:AlternateContent>
  <xr:revisionPtr revIDLastSave="0" documentId="13_ncr:1_{2A5F0A66-B1AD-47BE-A3B2-1D2E9B930A88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9" i="1" l="1"/>
  <c r="A10" i="1"/>
  <c r="A11" i="1"/>
  <c r="A12" i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8" i="1"/>
  <c r="B8" i="1" a="1"/>
  <c r="B8" i="1" l="1"/>
  <c r="C8" i="1"/>
  <c r="D8" i="1"/>
  <c r="H4" i="1"/>
  <c r="G4" i="1"/>
  <c r="F4" i="1"/>
  <c r="G3" i="1"/>
  <c r="G2" i="1"/>
  <c r="F2" i="1"/>
  <c r="F3" i="1"/>
  <c r="H3" i="1"/>
  <c r="H2" i="1"/>
  <c r="B9" i="1" a="1"/>
  <c r="C9" i="1" l="1"/>
  <c r="D9" i="1"/>
  <c r="B9" i="1"/>
  <c r="B10" i="1" a="1"/>
  <c r="C10" i="1" l="1"/>
  <c r="D10" i="1"/>
  <c r="B10" i="1"/>
  <c r="B11" i="1" a="1"/>
  <c r="C11" i="1" l="1"/>
  <c r="D11" i="1"/>
  <c r="B11" i="1"/>
  <c r="B12" i="1" a="1"/>
  <c r="C12" i="1" l="1"/>
  <c r="D12" i="1"/>
  <c r="B12" i="1"/>
  <c r="B13" i="1" a="1"/>
  <c r="C13" i="1" l="1"/>
  <c r="D13" i="1"/>
  <c r="B13" i="1"/>
  <c r="B14" i="1" a="1"/>
  <c r="C14" i="1" l="1"/>
  <c r="B14" i="1"/>
  <c r="D14" i="1"/>
  <c r="B15" i="1" a="1"/>
  <c r="C15" i="1" l="1"/>
  <c r="D15" i="1"/>
  <c r="B15" i="1"/>
  <c r="B16" i="1" a="1"/>
  <c r="C16" i="1" l="1"/>
  <c r="D16" i="1"/>
  <c r="B16" i="1"/>
  <c r="B17" i="1" a="1"/>
  <c r="C17" i="1" l="1"/>
  <c r="D17" i="1"/>
  <c r="B17" i="1"/>
  <c r="B18" i="1" a="1"/>
  <c r="C18" i="1" l="1"/>
  <c r="D18" i="1"/>
  <c r="B18" i="1"/>
  <c r="B19" i="1" a="1"/>
  <c r="C19" i="1" l="1"/>
  <c r="B19" i="1"/>
  <c r="D19" i="1"/>
  <c r="B20" i="1" a="1"/>
  <c r="C20" i="1" l="1"/>
  <c r="D20" i="1"/>
  <c r="B20" i="1"/>
  <c r="B21" i="1" a="1"/>
  <c r="C21" i="1" l="1"/>
  <c r="D21" i="1"/>
  <c r="B21" i="1"/>
  <c r="B22" i="1" a="1"/>
  <c r="C22" i="1" l="1"/>
  <c r="D22" i="1"/>
  <c r="B22" i="1"/>
  <c r="B23" i="1" a="1"/>
  <c r="C23" i="1" l="1"/>
  <c r="D23" i="1"/>
  <c r="B23" i="1"/>
  <c r="B24" i="1" a="1"/>
  <c r="C24" i="1" l="1"/>
  <c r="D24" i="1"/>
  <c r="B24" i="1"/>
  <c r="B25" i="1" a="1"/>
  <c r="B25" i="1" l="1"/>
  <c r="C25" i="1"/>
  <c r="D25" i="1"/>
  <c r="B26" i="1" a="1"/>
  <c r="C26" i="1" l="1"/>
  <c r="D26" i="1"/>
  <c r="B26" i="1"/>
  <c r="B27" i="1" a="1"/>
  <c r="C27" i="1" l="1"/>
  <c r="D27" i="1"/>
  <c r="B27" i="1"/>
  <c r="B28" i="1" a="1"/>
  <c r="C28" i="1" l="1"/>
  <c r="D28" i="1"/>
  <c r="B28" i="1"/>
  <c r="B29" i="1" a="1"/>
  <c r="C29" i="1" l="1"/>
  <c r="D29" i="1"/>
  <c r="B29" i="1"/>
  <c r="B30" i="1" a="1"/>
  <c r="C30" i="1" l="1"/>
  <c r="D30" i="1"/>
  <c r="B30" i="1"/>
  <c r="B31" i="1" a="1"/>
  <c r="C31" i="1" l="1"/>
  <c r="D31" i="1"/>
  <c r="B31" i="1"/>
  <c r="B32" i="1" a="1"/>
  <c r="D32" i="1" l="1"/>
  <c r="B32" i="1"/>
  <c r="C32" i="1"/>
  <c r="B33" i="1" a="1"/>
  <c r="C33" i="1" l="1"/>
  <c r="D33" i="1"/>
  <c r="B33" i="1"/>
  <c r="B34" i="1" a="1"/>
  <c r="D34" i="1" l="1"/>
  <c r="B34" i="1"/>
  <c r="C34" i="1"/>
  <c r="B35" i="1" a="1"/>
  <c r="C35" i="1" l="1"/>
  <c r="D35" i="1"/>
  <c r="B35" i="1"/>
  <c r="B36" i="1" a="1"/>
  <c r="C36" i="1" l="1"/>
  <c r="D36" i="1"/>
  <c r="B36" i="1"/>
  <c r="B37" i="1" a="1"/>
  <c r="D37" i="1" l="1"/>
  <c r="B37" i="1"/>
  <c r="C37" i="1"/>
  <c r="B38" i="1" a="1"/>
  <c r="C38" i="1" l="1"/>
  <c r="B38" i="1"/>
  <c r="D38" i="1"/>
  <c r="B39" i="1" a="1"/>
  <c r="C39" i="1" l="1"/>
  <c r="D39" i="1"/>
  <c r="B39" i="1"/>
  <c r="B40" i="1" a="1"/>
  <c r="C40" i="1" l="1"/>
  <c r="D40" i="1"/>
  <c r="B40" i="1"/>
  <c r="B41" i="1" a="1"/>
  <c r="C41" i="1" l="1"/>
  <c r="D41" i="1"/>
  <c r="B41" i="1"/>
  <c r="B42" i="1" a="1"/>
  <c r="C42" i="1" l="1"/>
  <c r="D42" i="1"/>
  <c r="B42" i="1"/>
  <c r="B43" i="1" a="1"/>
  <c r="D43" i="1" l="1"/>
  <c r="B43" i="1"/>
  <c r="C43" i="1"/>
  <c r="B44" i="1" a="1"/>
  <c r="C44" i="1" l="1"/>
  <c r="D44" i="1"/>
  <c r="B44" i="1"/>
  <c r="B45" i="1" a="1"/>
  <c r="C45" i="1" l="1"/>
  <c r="D45" i="1"/>
  <c r="B45" i="1"/>
  <c r="B46" i="1" a="1"/>
  <c r="C46" i="1" l="1"/>
  <c r="D46" i="1"/>
  <c r="B46" i="1"/>
  <c r="B47" i="1" a="1"/>
  <c r="D47" i="1" l="1"/>
  <c r="B47" i="1"/>
  <c r="C47" i="1"/>
  <c r="B48" i="1" a="1"/>
  <c r="C48" i="1" l="1"/>
  <c r="D48" i="1"/>
  <c r="B48" i="1"/>
  <c r="B49" i="1" a="1"/>
  <c r="C49" i="1" l="1"/>
  <c r="B49" i="1"/>
  <c r="D49" i="1"/>
  <c r="B50" i="1" a="1"/>
  <c r="C50" i="1" l="1"/>
  <c r="B50" i="1"/>
  <c r="D50" i="1"/>
  <c r="B51" i="1" a="1"/>
  <c r="C51" i="1" l="1"/>
  <c r="D51" i="1"/>
  <c r="B51" i="1"/>
  <c r="B52" i="1" a="1"/>
  <c r="C52" i="1" l="1"/>
  <c r="D52" i="1"/>
  <c r="B52" i="1"/>
  <c r="B53" i="1" a="1"/>
  <c r="D53" i="1" l="1"/>
  <c r="B53" i="1"/>
  <c r="C53" i="1"/>
  <c r="B54" i="1" a="1"/>
  <c r="C54" i="1" l="1"/>
  <c r="D54" i="1"/>
  <c r="B54" i="1"/>
  <c r="B55" i="1" a="1"/>
  <c r="C55" i="1" l="1"/>
  <c r="D55" i="1"/>
  <c r="B55" i="1"/>
  <c r="B56" i="1" a="1"/>
  <c r="C56" i="1" l="1"/>
  <c r="D56" i="1"/>
  <c r="B56" i="1"/>
  <c r="B57" i="1" a="1"/>
  <c r="C57" i="1" l="1"/>
  <c r="D57" i="1"/>
  <c r="B57" i="1"/>
  <c r="B58" i="1" a="1"/>
  <c r="D58" i="1" l="1"/>
  <c r="B58" i="1"/>
  <c r="C58" i="1"/>
  <c r="B59" i="1" a="1"/>
  <c r="D59" i="1" l="1"/>
  <c r="B59" i="1"/>
  <c r="C59" i="1"/>
  <c r="B60" i="1" a="1"/>
  <c r="D60" i="1" l="1"/>
  <c r="B60" i="1"/>
  <c r="C60" i="1"/>
  <c r="B61" i="1" a="1"/>
  <c r="C61" i="1" l="1"/>
  <c r="D61" i="1"/>
  <c r="B61" i="1"/>
  <c r="B62" i="1" a="1"/>
  <c r="C62" i="1" l="1"/>
  <c r="D62" i="1"/>
  <c r="B62" i="1"/>
  <c r="B63" i="1" a="1"/>
  <c r="C63" i="1" l="1"/>
  <c r="D63" i="1"/>
  <c r="B63" i="1"/>
  <c r="B64" i="1" a="1"/>
  <c r="C64" i="1" l="1"/>
  <c r="D64" i="1"/>
  <c r="B64" i="1"/>
  <c r="B65" i="1" a="1"/>
  <c r="B65" i="1" l="1"/>
  <c r="C65" i="1"/>
  <c r="D65" i="1"/>
  <c r="B66" i="1" a="1"/>
  <c r="C66" i="1" l="1"/>
  <c r="D66" i="1"/>
  <c r="B66" i="1"/>
  <c r="B67" i="1" a="1"/>
  <c r="C67" i="1" l="1"/>
  <c r="D67" i="1"/>
  <c r="B67" i="1"/>
  <c r="B68" i="1" a="1"/>
  <c r="C68" i="1" l="1"/>
  <c r="D68" i="1"/>
  <c r="B68" i="1"/>
  <c r="B69" i="1" a="1"/>
  <c r="B69" i="1" l="1"/>
  <c r="C69" i="1"/>
  <c r="D69" i="1"/>
  <c r="B70" i="1" a="1"/>
  <c r="C70" i="1" l="1"/>
  <c r="D70" i="1"/>
  <c r="B70" i="1"/>
  <c r="B71" i="1" a="1"/>
  <c r="C71" i="1" l="1"/>
  <c r="D71" i="1"/>
  <c r="B71" i="1"/>
  <c r="B72" i="1" a="1"/>
  <c r="C72" i="1" l="1"/>
  <c r="B72" i="1"/>
  <c r="D72" i="1"/>
  <c r="B73" i="1" a="1"/>
  <c r="C73" i="1" l="1"/>
  <c r="D73" i="1"/>
  <c r="B73" i="1"/>
  <c r="B74" i="1" a="1"/>
  <c r="C74" i="1" l="1"/>
  <c r="D74" i="1"/>
  <c r="B74" i="1"/>
  <c r="B75" i="1" a="1"/>
  <c r="C75" i="1" l="1"/>
  <c r="D75" i="1"/>
  <c r="B75" i="1"/>
  <c r="B76" i="1" a="1"/>
  <c r="C76" i="1" l="1"/>
  <c r="D76" i="1"/>
  <c r="B76" i="1"/>
  <c r="B77" i="1" a="1"/>
  <c r="C77" i="1" l="1"/>
  <c r="D77" i="1"/>
  <c r="B77" i="1"/>
  <c r="B78" i="1" a="1"/>
  <c r="C78" i="1" l="1"/>
  <c r="D78" i="1"/>
  <c r="B78" i="1"/>
  <c r="B79" i="1" a="1"/>
  <c r="C79" i="1" l="1"/>
  <c r="D79" i="1"/>
  <c r="B79" i="1"/>
  <c r="B80" i="1" a="1"/>
  <c r="C80" i="1" l="1"/>
  <c r="D80" i="1"/>
  <c r="B80" i="1"/>
  <c r="B81" i="1" a="1"/>
  <c r="D81" i="1" l="1"/>
  <c r="B81" i="1"/>
  <c r="C81" i="1"/>
  <c r="B82" i="1" a="1"/>
  <c r="C82" i="1" l="1"/>
  <c r="D82" i="1"/>
  <c r="B82" i="1"/>
  <c r="B83" i="1" a="1"/>
  <c r="C83" i="1" l="1"/>
  <c r="D83" i="1"/>
  <c r="B83" i="1"/>
  <c r="B84" i="1" a="1"/>
  <c r="D84" i="1" l="1"/>
  <c r="C84" i="1"/>
  <c r="B84" i="1"/>
  <c r="B85" i="1" a="1"/>
  <c r="D85" i="1" l="1"/>
  <c r="B85" i="1"/>
  <c r="C85" i="1"/>
  <c r="B86" i="1" a="1"/>
  <c r="B86" i="1" l="1"/>
  <c r="D86" i="1"/>
  <c r="C86" i="1"/>
  <c r="B87" i="1" a="1"/>
  <c r="B87" i="1" l="1"/>
  <c r="D87" i="1"/>
  <c r="C87" i="1"/>
  <c r="B88" i="1" a="1"/>
  <c r="B88" i="1" l="1"/>
  <c r="D88" i="1"/>
  <c r="C88" i="1"/>
  <c r="B89" i="1" a="1"/>
  <c r="D89" i="1" l="1"/>
  <c r="B89" i="1"/>
  <c r="C89" i="1"/>
  <c r="B90" i="1" a="1"/>
  <c r="B90" i="1" l="1"/>
  <c r="C90" i="1"/>
  <c r="D90" i="1"/>
  <c r="B91" i="1" a="1"/>
  <c r="B91" i="1" l="1"/>
  <c r="D91" i="1"/>
  <c r="C91" i="1"/>
  <c r="B92" i="1" a="1"/>
  <c r="B92" i="1" l="1"/>
  <c r="D92" i="1"/>
  <c r="C92" i="1"/>
  <c r="B93" i="1" a="1"/>
  <c r="D93" i="1" l="1"/>
  <c r="B93" i="1"/>
  <c r="C93" i="1"/>
  <c r="B94" i="1" a="1"/>
  <c r="D94" i="1" l="1"/>
  <c r="B94" i="1"/>
  <c r="C94" i="1"/>
  <c r="B95" i="1" a="1"/>
  <c r="B95" i="1" l="1"/>
  <c r="C95" i="1"/>
  <c r="D95" i="1"/>
  <c r="B96" i="1" a="1"/>
  <c r="B96" i="1" l="1"/>
  <c r="C96" i="1"/>
  <c r="D96" i="1"/>
  <c r="B97" i="1" a="1"/>
  <c r="B97" i="1" l="1"/>
  <c r="C97" i="1"/>
  <c r="D97" i="1"/>
  <c r="B98" i="1" a="1"/>
  <c r="C98" i="1" l="1"/>
  <c r="D98" i="1"/>
  <c r="B98" i="1"/>
  <c r="B99" i="1" a="1"/>
  <c r="B99" i="1" l="1"/>
  <c r="C99" i="1"/>
  <c r="D99" i="1"/>
  <c r="B100" i="1" a="1"/>
  <c r="B100" i="1" l="1"/>
  <c r="C100" i="1"/>
  <c r="D100" i="1"/>
  <c r="B101" i="1" a="1"/>
  <c r="B101" i="1" l="1"/>
  <c r="C101" i="1"/>
  <c r="D101" i="1"/>
  <c r="B102" i="1" a="1"/>
  <c r="B102" i="1" l="1"/>
  <c r="C102" i="1"/>
  <c r="D102" i="1"/>
  <c r="B103" i="1" a="1"/>
  <c r="B103" i="1" l="1"/>
  <c r="C103" i="1"/>
  <c r="D103" i="1"/>
  <c r="B104" i="1" a="1"/>
  <c r="B104" i="1" l="1"/>
  <c r="C104" i="1"/>
  <c r="D104" i="1"/>
  <c r="B105" i="1" a="1"/>
  <c r="B105" i="1" l="1"/>
  <c r="C105" i="1"/>
  <c r="D105" i="1"/>
  <c r="B106" i="1" a="1"/>
  <c r="B106" i="1" l="1"/>
  <c r="C106" i="1"/>
  <c r="D106" i="1"/>
  <c r="B107" i="1" a="1"/>
  <c r="B107" i="1" l="1"/>
  <c r="C107" i="1"/>
  <c r="D107" i="1"/>
</calcChain>
</file>

<file path=xl/sharedStrings.xml><?xml version="1.0" encoding="utf-8"?>
<sst xmlns="http://schemas.openxmlformats.org/spreadsheetml/2006/main" count="14" uniqueCount="14">
  <si>
    <t>Tank</t>
  </si>
  <si>
    <t>Volume (L)</t>
  </si>
  <si>
    <t>Flow Rate (L/s)</t>
  </si>
  <si>
    <t>Cs1</t>
  </si>
  <si>
    <t>Cs2</t>
  </si>
  <si>
    <t>Cs3</t>
  </si>
  <si>
    <t>Coefficients:</t>
  </si>
  <si>
    <t>Cs' =</t>
  </si>
  <si>
    <t>Cs2'=</t>
  </si>
  <si>
    <t>Cs3'=</t>
  </si>
  <si>
    <t>Cs1 (g/L)</t>
  </si>
  <si>
    <t>Time (s)</t>
  </si>
  <si>
    <t>Cs2 (g/L)</t>
  </si>
  <si>
    <t>Cs3 (g/L)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</si>
</sst>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 applyProtection="1">
      <protection locked="0"/>
    </xf>
    <xf numFmtId="0" fontId="0" fillId="0" borderId="0" xfId="0" applyProtection="1">
      <protection locked="0"/>
    </xf>
    <xf numFmtId="0" fontId="0" fillId="3" borderId="0" xfId="0" applyFill="1" applyProtection="1">
      <protection locked="0"/>
    </xf>
    <xf numFmtId="0" fontId="1" fillId="4" borderId="0" xfId="0" applyFont="1" applyFill="1" applyProtection="1">
      <protection locked="0"/>
    </xf>
    <xf numFmtId="0" fontId="1" fillId="5" borderId="0" xfId="0" applyFont="1" applyFill="1" applyProtection="1">
      <protection locked="0"/>
    </xf>
    <xf numFmtId="0" fontId="0" fillId="0" borderId="1" xfId="0" applyFill="1" applyBorder="1" applyProtection="1">
      <protection locked="0"/>
    </xf>
    <xf numFmtId="0" fontId="0" fillId="0" borderId="1" xfId="0" applyBorder="1" applyProtection="1">
      <protection locked="0"/>
    </xf>
    <xf numFmtId="0" fontId="1" fillId="2" borderId="0" xfId="0" applyFont="1" applyFill="1" applyProtection="1"/>
    <xf numFmtId="0" fontId="0" fillId="3" borderId="0" xfId="0" applyFill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1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Concentration</a:t>
            </a:r>
            <a:r>
              <a:rPr lang="en-CA" b="1" baseline="0">
                <a:solidFill>
                  <a:sysClr val="windowText" lastClr="000000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 Of Salt Over Time</a:t>
            </a:r>
            <a:endParaRPr lang="en-CA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Cs1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Sheet1!$A$7:$A$107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cat>
          <c:val>
            <c:numRef>
              <c:f>Sheet1!$B$7:$B$107</c:f>
              <c:numCache>
                <c:formatCode>General</c:formatCode>
                <c:ptCount val="101"/>
                <c:pt idx="0">
                  <c:v>450</c:v>
                </c:pt>
                <c:pt idx="1">
                  <c:v>407.17643093955064</c:v>
                </c:pt>
                <c:pt idx="2">
                  <c:v>364.76254592723046</c:v>
                </c:pt>
                <c:pt idx="3">
                  <c:v>326.76673992230104</c:v>
                </c:pt>
                <c:pt idx="4">
                  <c:v>292.72879990466589</c:v>
                </c:pt>
                <c:pt idx="5">
                  <c:v>262.23645134141071</c:v>
                </c:pt>
                <c:pt idx="6">
                  <c:v>234.92036463283421</c:v>
                </c:pt>
                <c:pt idx="7">
                  <c:v>210.44968171634542</c:v>
                </c:pt>
                <c:pt idx="8">
                  <c:v>188.52800864553453</c:v>
                </c:pt>
                <c:pt idx="9">
                  <c:v>168.88982560570994</c:v>
                </c:pt>
                <c:pt idx="10">
                  <c:v>151.29727088327112</c:v>
                </c:pt>
                <c:pt idx="11">
                  <c:v>135.53725983569262</c:v>
                </c:pt>
                <c:pt idx="12">
                  <c:v>121.41890396649092</c:v>
                </c:pt>
                <c:pt idx="13">
                  <c:v>108.771198844479</c:v>
                </c:pt>
                <c:pt idx="14">
                  <c:v>97.440952862911246</c:v>
                </c:pt>
                <c:pt idx="15">
                  <c:v>87.290931751222743</c:v>
                </c:pt>
                <c:pt idx="16">
                  <c:v>78.198196365307709</c:v>
                </c:pt>
                <c:pt idx="17">
                  <c:v>70.052613623311075</c:v>
                </c:pt>
                <c:pt idx="18">
                  <c:v>62.755522551080738</c:v>
                </c:pt>
                <c:pt idx="19">
                  <c:v>56.218539280148832</c:v>
                </c:pt>
                <c:pt idx="20">
                  <c:v>50.362486524131562</c:v>
                </c:pt>
                <c:pt idx="21">
                  <c:v>45.116434567145483</c:v>
                </c:pt>
                <c:pt idx="22">
                  <c:v>40.416842148494759</c:v>
                </c:pt>
                <c:pt idx="23">
                  <c:v>36.206786837847758</c:v>
                </c:pt>
                <c:pt idx="24">
                  <c:v>32.435275579048884</c:v>
                </c:pt>
                <c:pt idx="25">
                  <c:v>29.056627051730441</c:v>
                </c:pt>
                <c:pt idx="26">
                  <c:v>26.029918369761251</c:v>
                </c:pt>
                <c:pt idx="27">
                  <c:v>23.318489414829827</c:v>
                </c:pt>
                <c:pt idx="28">
                  <c:v>20.889498801548417</c:v>
                </c:pt>
                <c:pt idx="29">
                  <c:v>18.71352609583597</c:v>
                </c:pt>
                <c:pt idx="30">
                  <c:v>16.764215468567187</c:v>
                </c:pt>
                <c:pt idx="31">
                  <c:v>15.017956468347386</c:v>
                </c:pt>
                <c:pt idx="32">
                  <c:v>13.45359804686724</c:v>
                </c:pt>
                <c:pt idx="33">
                  <c:v>12.052192373053776</c:v>
                </c:pt>
                <c:pt idx="34">
                  <c:v>10.796765333041842</c:v>
                </c:pt>
                <c:pt idx="35">
                  <c:v>9.6721109362144713</c:v>
                </c:pt>
                <c:pt idx="36">
                  <c:v>8.6646071371158744</c:v>
                </c:pt>
                <c:pt idx="37">
                  <c:v>7.7620508424340748</c:v>
                </c:pt>
                <c:pt idx="38">
                  <c:v>6.9535101046238905</c:v>
                </c:pt>
                <c:pt idx="39">
                  <c:v>6.2291917119089932</c:v>
                </c:pt>
                <c:pt idx="40">
                  <c:v>5.5803225708858744</c:v>
                </c:pt>
                <c:pt idx="41">
                  <c:v>4.9990434450114538</c:v>
                </c:pt>
                <c:pt idx="42">
                  <c:v>4.4783137619130082</c:v>
                </c:pt>
                <c:pt idx="43">
                  <c:v>4.0118263365269646</c:v>
                </c:pt>
                <c:pt idx="44">
                  <c:v>3.5939309771756922</c:v>
                </c:pt>
                <c:pt idx="45">
                  <c:v>3.2195660492833524</c:v>
                </c:pt>
                <c:pt idx="46">
                  <c:v>2.8841971678164713</c:v>
                </c:pt>
                <c:pt idx="47">
                  <c:v>2.5837622758794465</c:v>
                </c:pt>
                <c:pt idx="48">
                  <c:v>2.3146224442456482</c:v>
                </c:pt>
                <c:pt idx="49">
                  <c:v>2.0735177958979034</c:v>
                </c:pt>
                <c:pt idx="50">
                  <c:v>1.8575280217273316</c:v>
                </c:pt>
                <c:pt idx="51">
                  <c:v>1.6640370091485566</c:v>
                </c:pt>
                <c:pt idx="52">
                  <c:v>1.4907011552057972</c:v>
                </c:pt>
                <c:pt idx="53">
                  <c:v>1.335420980371665</c:v>
                </c:pt>
                <c:pt idx="54">
                  <c:v>1.1963156992191504</c:v>
                </c:pt>
                <c:pt idx="55">
                  <c:v>1.0717004399615555</c:v>
                </c:pt>
                <c:pt idx="56">
                  <c:v>0.96006583693874337</c:v>
                </c:pt>
                <c:pt idx="57">
                  <c:v>0.8600597488697066</c:v>
                </c:pt>
                <c:pt idx="58">
                  <c:v>0.77047088143916453</c:v>
                </c:pt>
                <c:pt idx="59">
                  <c:v>0.69021411585158776</c:v>
                </c:pt>
                <c:pt idx="60">
                  <c:v>0.61831736564908013</c:v>
                </c:pt>
                <c:pt idx="61">
                  <c:v>0.55390980260019096</c:v>
                </c:pt>
                <c:pt idx="62">
                  <c:v>0.4962113090491993</c:v>
                </c:pt>
                <c:pt idx="63">
                  <c:v>0.44452302897055673</c:v>
                </c:pt>
                <c:pt idx="64">
                  <c:v>0.39821890328091319</c:v>
                </c:pt>
                <c:pt idx="65">
                  <c:v>0.35673808688268616</c:v>
                </c:pt>
                <c:pt idx="66">
                  <c:v>0.31957815559284292</c:v>
                </c:pt>
                <c:pt idx="67">
                  <c:v>0.28628902067782008</c:v>
                </c:pt>
                <c:pt idx="68">
                  <c:v>0.25646747728617547</c:v>
                </c:pt>
                <c:pt idx="69">
                  <c:v>0.22975232074846674</c:v>
                </c:pt>
                <c:pt idx="70">
                  <c:v>0.20581997159197576</c:v>
                </c:pt>
                <c:pt idx="71">
                  <c:v>0.18438055627955793</c:v>
                </c:pt>
                <c:pt idx="72">
                  <c:v>0.16517439620171739</c:v>
                </c:pt>
                <c:pt idx="73">
                  <c:v>0.14796886239585938</c:v>
                </c:pt>
                <c:pt idx="74">
                  <c:v>0.13255555789643098</c:v>
                </c:pt>
                <c:pt idx="75">
                  <c:v>0.11874779358799578</c:v>
                </c:pt>
                <c:pt idx="76">
                  <c:v>0.10637832698825611</c:v>
                </c:pt>
                <c:pt idx="77">
                  <c:v>9.5297336572696623E-2</c:v>
                </c:pt>
                <c:pt idx="78">
                  <c:v>8.5370607105453009E-2</c:v>
                </c:pt>
                <c:pt idx="79">
                  <c:v>7.6477903996760063E-2</c:v>
                </c:pt>
                <c:pt idx="80">
                  <c:v>6.8511516996861727E-2</c:v>
                </c:pt>
                <c:pt idx="81">
                  <c:v>6.1374955587304346E-2</c:v>
                </c:pt>
                <c:pt idx="82">
                  <c:v>5.4981780267923823E-2</c:v>
                </c:pt>
                <c:pt idx="83">
                  <c:v>4.9254555583834528E-2</c:v>
                </c:pt>
                <c:pt idx="84">
                  <c:v>4.4123912211267047E-2</c:v>
                </c:pt>
                <c:pt idx="85">
                  <c:v>3.9527706742045692E-2</c:v>
                </c:pt>
                <c:pt idx="86">
                  <c:v>3.5410268989842557E-2</c:v>
                </c:pt>
                <c:pt idx="87">
                  <c:v>3.172172770142629E-2</c:v>
                </c:pt>
                <c:pt idx="88">
                  <c:v>2.8417406505781818E-2</c:v>
                </c:pt>
                <c:pt idx="89">
                  <c:v>2.545728278471231E-2</c:v>
                </c:pt>
                <c:pt idx="90">
                  <c:v>2.2805502910652746E-2</c:v>
                </c:pt>
                <c:pt idx="91">
                  <c:v>2.0429947980155901E-2</c:v>
                </c:pt>
                <c:pt idx="92">
                  <c:v>1.8301844783125191E-2</c:v>
                </c:pt>
                <c:pt idx="93">
                  <c:v>1.6395417295773786E-2</c:v>
                </c:pt>
                <c:pt idx="94">
                  <c:v>1.4687574476121013E-2</c:v>
                </c:pt>
                <c:pt idx="95">
                  <c:v>1.3157630580540848E-2</c:v>
                </c:pt>
                <c:pt idx="96">
                  <c:v>1.178705461377892E-2</c:v>
                </c:pt>
                <c:pt idx="97">
                  <c:v>1.0559245877725193E-2</c:v>
                </c:pt>
                <c:pt idx="98">
                  <c:v>9.4593329003428168E-3</c:v>
                </c:pt>
                <c:pt idx="99">
                  <c:v>8.4739933093389355E-3</c:v>
                </c:pt>
                <c:pt idx="100">
                  <c:v>7.5912924688503799E-3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21-4188-B059-8BA7A586F014}"/>
            </c:ext>
          </c:extLst>
        </c:ser>
        <c:ser>
          <c:idx val="2"/>
          <c:order val="1"/>
          <c:tx>
            <c:v>Cs2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Sheet1!$A$7:$A$107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cat>
          <c:val>
            <c:numRef>
              <c:f>Sheet1!$C$7:$C$107</c:f>
              <c:numCache>
                <c:formatCode>General</c:formatCode>
                <c:ptCount val="101"/>
                <c:pt idx="0">
                  <c:v>0</c:v>
                </c:pt>
                <c:pt idx="1">
                  <c:v>77.49665782279483</c:v>
                </c:pt>
                <c:pt idx="2">
                  <c:v>138.18413652762337</c:v>
                </c:pt>
                <c:pt idx="3">
                  <c:v>178.97124704817983</c:v>
                </c:pt>
                <c:pt idx="4">
                  <c:v>204.61248707356461</c:v>
                </c:pt>
                <c:pt idx="5">
                  <c:v>218.83754050906893</c:v>
                </c:pt>
                <c:pt idx="6">
                  <c:v>224.56260572600416</c:v>
                </c:pt>
                <c:pt idx="7">
                  <c:v>224.05905850443673</c:v>
                </c:pt>
                <c:pt idx="8">
                  <c:v>219.08797234236263</c:v>
                </c:pt>
                <c:pt idx="9">
                  <c:v>211.00732562488955</c:v>
                </c:pt>
                <c:pt idx="10">
                  <c:v>200.85736739158733</c:v>
                </c:pt>
                <c:pt idx="11">
                  <c:v>189.42852475954521</c:v>
                </c:pt>
                <c:pt idx="12">
                  <c:v>177.31536221833829</c:v>
                </c:pt>
                <c:pt idx="13">
                  <c:v>164.9594032987969</c:v>
                </c:pt>
                <c:pt idx="14">
                  <c:v>152.68306426197628</c:v>
                </c:pt>
                <c:pt idx="15">
                  <c:v>140.71649996536956</c:v>
                </c:pt>
                <c:pt idx="16">
                  <c:v>129.21880188417279</c:v>
                </c:pt>
                <c:pt idx="17">
                  <c:v>118.29469970251365</c:v>
                </c:pt>
                <c:pt idx="18">
                  <c:v>108.0076867493154</c:v>
                </c:pt>
                <c:pt idx="19">
                  <c:v>98.390304450475497</c:v>
                </c:pt>
                <c:pt idx="20">
                  <c:v>89.45217277103589</c:v>
                </c:pt>
                <c:pt idx="21">
                  <c:v>81.186235003441183</c:v>
                </c:pt>
                <c:pt idx="22">
                  <c:v>73.573590346528178</c:v>
                </c:pt>
                <c:pt idx="23">
                  <c:v>66.587211803738839</c:v>
                </c:pt>
                <c:pt idx="24">
                  <c:v>60.194786230726052</c:v>
                </c:pt>
                <c:pt idx="25">
                  <c:v>54.360864853272204</c:v>
                </c:pt>
                <c:pt idx="26">
                  <c:v>49.048473828075593</c:v>
                </c:pt>
                <c:pt idx="27">
                  <c:v>44.220303485015677</c:v>
                </c:pt>
                <c:pt idx="28">
                  <c:v>39.839570209869137</c:v>
                </c:pt>
                <c:pt idx="29">
                  <c:v>35.870625250859106</c:v>
                </c:pt>
                <c:pt idx="30">
                  <c:v>32.279369059104297</c:v>
                </c:pt>
                <c:pt idx="31">
                  <c:v>29.033517299458342</c:v>
                </c:pt>
                <c:pt idx="32">
                  <c:v>26.102754751616732</c:v>
                </c:pt>
                <c:pt idx="33">
                  <c:v>23.458805447007343</c:v>
                </c:pt>
                <c:pt idx="34">
                  <c:v>21.075441142825795</c:v>
                </c:pt>
                <c:pt idx="35">
                  <c:v>18.928445290863063</c:v>
                </c:pt>
                <c:pt idx="36">
                  <c:v>16.995545751673028</c:v>
                </c:pt>
                <c:pt idx="37">
                  <c:v>15.256326423146541</c:v>
                </c:pt>
                <c:pt idx="38">
                  <c:v>13.692125528022773</c:v>
                </c:pt>
                <c:pt idx="39">
                  <c:v>12.285926402501325</c:v>
                </c:pt>
                <c:pt idx="40">
                  <c:v>11.022245140283234</c:v>
                </c:pt>
                <c:pt idx="41">
                  <c:v>9.8870182871572148</c:v>
                </c:pt>
                <c:pt idx="42">
                  <c:v>8.8674928821362826</c:v>
                </c:pt>
                <c:pt idx="43">
                  <c:v>7.9521204475269318</c:v>
                </c:pt>
                <c:pt idx="44">
                  <c:v>7.1304559986887543</c:v>
                </c:pt>
                <c:pt idx="45">
                  <c:v>6.3930627400187046</c:v>
                </c:pt>
                <c:pt idx="46">
                  <c:v>5.7314228093770714</c:v>
                </c:pt>
                <c:pt idx="47">
                  <c:v>5.1378542069403457</c:v>
                </c:pt>
                <c:pt idx="48">
                  <c:v>4.6054338790252816</c:v>
                </c:pt>
                <c:pt idx="49">
                  <c:v>4.1279268090951673</c:v>
                </c:pt>
                <c:pt idx="50">
                  <c:v>3.699720886126646</c:v>
                </c:pt>
                <c:pt idx="51">
                  <c:v>3.3157672662679953</c:v>
                </c:pt>
                <c:pt idx="52">
                  <c:v>2.9715259105634186</c:v>
                </c:pt>
                <c:pt idx="53">
                  <c:v>2.6629159642066118</c:v>
                </c:pt>
                <c:pt idx="54">
                  <c:v>2.386270637223102</c:v>
                </c:pt>
                <c:pt idx="55">
                  <c:v>2.1382962494770399</c:v>
                </c:pt>
                <c:pt idx="56">
                  <c:v>1.9160351119866412</c:v>
                </c:pt>
                <c:pt idx="57">
                  <c:v>1.7168319298140129</c:v>
                </c:pt>
                <c:pt idx="58">
                  <c:v>1.53830342781783</c:v>
                </c:pt>
                <c:pt idx="59">
                  <c:v>1.3783109182211704</c:v>
                </c:pt>
                <c:pt idx="60">
                  <c:v>1.234935547427165</c:v>
                </c:pt>
                <c:pt idx="61">
                  <c:v>1.1064559782023065</c:v>
                </c:pt>
                <c:pt idx="62">
                  <c:v>0.99132828179870758</c:v>
                </c:pt>
                <c:pt idx="63">
                  <c:v>0.88816783248905684</c:v>
                </c:pt>
                <c:pt idx="64">
                  <c:v>0.79573301412749153</c:v>
                </c:pt>
                <c:pt idx="65">
                  <c:v>0.71291056458798818</c:v>
                </c:pt>
                <c:pt idx="66">
                  <c:v>0.63870239918839966</c:v>
                </c:pt>
                <c:pt idx="67">
                  <c:v>0.57221376844508876</c:v>
                </c:pt>
                <c:pt idx="68">
                  <c:v>0.51264261871395789</c:v>
                </c:pt>
                <c:pt idx="69">
                  <c:v>0.45927003647518455</c:v>
                </c:pt>
                <c:pt idx="70">
                  <c:v>0.41145166824384555</c:v>
                </c:pt>
                <c:pt idx="71">
                  <c:v>0.36861001838045043</c:v>
                </c:pt>
                <c:pt idx="72">
                  <c:v>0.330227536484757</c:v>
                </c:pt>
                <c:pt idx="73">
                  <c:v>0.29584041463758665</c:v>
                </c:pt>
                <c:pt idx="74">
                  <c:v>0.26503302256491496</c:v>
                </c:pt>
                <c:pt idx="75">
                  <c:v>0.2374329158925518</c:v>
                </c:pt>
                <c:pt idx="76">
                  <c:v>0.21270635909344443</c:v>
                </c:pt>
                <c:pt idx="77">
                  <c:v>0.19055431055627797</c:v>
                </c:pt>
                <c:pt idx="78">
                  <c:v>0.17070882247439692</c:v>
                </c:pt>
                <c:pt idx="79">
                  <c:v>0.15292981301606517</c:v>
                </c:pt>
                <c:pt idx="80">
                  <c:v>0.13700217253565705</c:v>
                </c:pt>
                <c:pt idx="81">
                  <c:v>0.12273316946235246</c:v>
                </c:pt>
                <c:pt idx="82">
                  <c:v>0.10995012499704795</c:v>
                </c:pt>
                <c:pt idx="83">
                  <c:v>9.8498328895218354E-2</c:v>
                </c:pt>
                <c:pt idx="84">
                  <c:v>8.823917144620505E-2</c:v>
                </c:pt>
                <c:pt idx="85">
                  <c:v>7.9048469307926944E-2</c:v>
                </c:pt>
                <c:pt idx="86">
                  <c:v>7.0814965147775133E-2</c:v>
                </c:pt>
                <c:pt idx="87">
                  <c:v>6.3438983100485583E-2</c:v>
                </c:pt>
                <c:pt idx="88">
                  <c:v>5.6831223904842888E-2</c:v>
                </c:pt>
                <c:pt idx="89">
                  <c:v>5.0911685243812455E-2</c:v>
                </c:pt>
                <c:pt idx="90">
                  <c:v>4.5608694305856783E-2</c:v>
                </c:pt>
                <c:pt idx="91">
                  <c:v>4.0858040925711887E-2</c:v>
                </c:pt>
                <c:pt idx="92">
                  <c:v>3.6602200866112627E-2</c:v>
                </c:pt>
                <c:pt idx="93">
                  <c:v>3.2789639881702123E-2</c:v>
                </c:pt>
                <c:pt idx="94">
                  <c:v>2.937419017513266E-2</c:v>
                </c:pt>
                <c:pt idx="95">
                  <c:v>2.6314491724428138E-2</c:v>
                </c:pt>
                <c:pt idx="96">
                  <c:v>2.3573491740179336E-2</c:v>
                </c:pt>
                <c:pt idx="97">
                  <c:v>2.111799621022149E-2</c:v>
                </c:pt>
                <c:pt idx="98">
                  <c:v>1.8918268116324084E-2</c:v>
                </c:pt>
                <c:pt idx="99">
                  <c:v>1.6947667469501982E-2</c:v>
                </c:pt>
                <c:pt idx="100">
                  <c:v>1.5182328814487679E-2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21-4188-B059-8BA7A586F014}"/>
            </c:ext>
          </c:extLst>
        </c:ser>
        <c:ser>
          <c:idx val="3"/>
          <c:order val="2"/>
          <c:tx>
            <c:v>Cs4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Sheet1!$A$7:$A$107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cat>
          <c:val>
            <c:numRef>
              <c:f>Sheet1!$D$7:$D$107</c:f>
              <c:numCache>
                <c:formatCode>General</c:formatCode>
                <c:ptCount val="101"/>
                <c:pt idx="0">
                  <c:v>0</c:v>
                </c:pt>
                <c:pt idx="1">
                  <c:v>2.0032421380118186</c:v>
                </c:pt>
                <c:pt idx="2">
                  <c:v>7.7830033757819503</c:v>
                </c:pt>
                <c:pt idx="3">
                  <c:v>15.939948824491342</c:v>
                </c:pt>
                <c:pt idx="4">
                  <c:v>25.415393247037048</c:v>
                </c:pt>
                <c:pt idx="5">
                  <c:v>35.43301896394793</c:v>
                </c:pt>
                <c:pt idx="6">
                  <c:v>45.43484067527168</c:v>
                </c:pt>
                <c:pt idx="7">
                  <c:v>55.030711913147641</c:v>
                </c:pt>
                <c:pt idx="8">
                  <c:v>63.958603760087648</c:v>
                </c:pt>
                <c:pt idx="9">
                  <c:v>72.05344337438332</c:v>
                </c:pt>
                <c:pt idx="10">
                  <c:v>79.222745744096088</c:v>
                </c:pt>
                <c:pt idx="11">
                  <c:v>85.427628979811033</c:v>
                </c:pt>
                <c:pt idx="12">
                  <c:v>90.668089025870671</c:v>
                </c:pt>
                <c:pt idx="13">
                  <c:v>94.971638092139898</c:v>
                </c:pt>
                <c:pt idx="14">
                  <c:v>98.384593747616393</c:v>
                </c:pt>
                <c:pt idx="15">
                  <c:v>100.96545158511593</c:v>
                </c:pt>
                <c:pt idx="16">
                  <c:v>102.77989096781062</c:v>
                </c:pt>
                <c:pt idx="17">
                  <c:v>103.89705645938282</c:v>
                </c:pt>
                <c:pt idx="18">
                  <c:v>104.38683181347471</c:v>
                </c:pt>
                <c:pt idx="19">
                  <c:v>104.31788261629966</c:v>
                </c:pt>
                <c:pt idx="20">
                  <c:v>103.75629085255233</c:v>
                </c:pt>
                <c:pt idx="21">
                  <c:v>102.76464221351182</c:v>
                </c:pt>
                <c:pt idx="22">
                  <c:v>101.40145682128913</c:v>
                </c:pt>
                <c:pt idx="23">
                  <c:v>99.720877753044121</c:v>
                </c:pt>
                <c:pt idx="24">
                  <c:v>97.772550553358414</c:v>
                </c:pt>
                <c:pt idx="25">
                  <c:v>95.601641813933952</c:v>
                </c:pt>
                <c:pt idx="26">
                  <c:v>93.248956671149813</c:v>
                </c:pt>
                <c:pt idx="27">
                  <c:v>90.751124358575879</c:v>
                </c:pt>
                <c:pt idx="28">
                  <c:v>88.140828260804909</c:v>
                </c:pt>
                <c:pt idx="29">
                  <c:v>85.447062652445396</c:v>
                </c:pt>
                <c:pt idx="30">
                  <c:v>82.695402795678703</c:v>
                </c:pt>
                <c:pt idx="31">
                  <c:v>79.908278569928129</c:v>
                </c:pt>
                <c:pt idx="32">
                  <c:v>77.105244524100868</c:v>
                </c:pt>
                <c:pt idx="33">
                  <c:v>74.303241339890874</c:v>
                </c:pt>
                <c:pt idx="34">
                  <c:v>71.516845304644832</c:v>
                </c:pt>
                <c:pt idx="35">
                  <c:v>68.758503618419851</c:v>
                </c:pt>
                <c:pt idx="36">
                  <c:v>66.038754284849972</c:v>
                </c:pt>
                <c:pt idx="37">
                  <c:v>63.366430024971791</c:v>
                </c:pt>
                <c:pt idx="38">
                  <c:v>60.748846159295908</c:v>
                </c:pt>
                <c:pt idx="39">
                  <c:v>58.19197276734991</c:v>
                </c:pt>
                <c:pt idx="40">
                  <c:v>55.70059168819536</c:v>
                </c:pt>
                <c:pt idx="41">
                  <c:v>53.278439095686331</c:v>
                </c:pt>
                <c:pt idx="42">
                  <c:v>50.928334488648808</c:v>
                </c:pt>
                <c:pt idx="43">
                  <c:v>48.6522969945282</c:v>
                </c:pt>
                <c:pt idx="44">
                  <c:v>46.451649907723464</c:v>
                </c:pt>
                <c:pt idx="45">
                  <c:v>44.327114380412873</c:v>
                </c:pt>
                <c:pt idx="46">
                  <c:v>42.278893161619038</c:v>
                </c:pt>
                <c:pt idx="47">
                  <c:v>40.306745245294351</c:v>
                </c:pt>
                <c:pt idx="48">
                  <c:v>38.410052244715196</c:v>
                </c:pt>
                <c:pt idx="49">
                  <c:v>36.587877261780569</c:v>
                </c:pt>
                <c:pt idx="50">
                  <c:v>34.839016968414725</c:v>
                </c:pt>
                <c:pt idx="51">
                  <c:v>33.162047565020877</c:v>
                </c:pt>
                <c:pt idx="52">
                  <c:v>31.555365229170029</c:v>
                </c:pt>
                <c:pt idx="53">
                  <c:v>30.017221617390454</c:v>
                </c:pt>
                <c:pt idx="54">
                  <c:v>28.545754934703591</c:v>
                </c:pt>
                <c:pt idx="55">
                  <c:v>27.139017040859898</c:v>
                </c:pt>
                <c:pt idx="56">
                  <c:v>25.794997019314483</c:v>
                </c:pt>
                <c:pt idx="57">
                  <c:v>24.511641594973131</c:v>
                </c:pt>
                <c:pt idx="58">
                  <c:v>23.286872749660688</c:v>
                </c:pt>
                <c:pt idx="59">
                  <c:v>22.118602850076364</c:v>
                </c:pt>
                <c:pt idx="60">
                  <c:v>21.004747571612096</c:v>
                </c:pt>
                <c:pt idx="61">
                  <c:v>19.943236872699188</c:v>
                </c:pt>
                <c:pt idx="62">
                  <c:v>18.932024248168805</c:v>
                </c:pt>
                <c:pt idx="63">
                  <c:v>17.969094466307066</c:v>
                </c:pt>
                <c:pt idx="64">
                  <c:v>17.052469972693071</c:v>
                </c:pt>
                <c:pt idx="65">
                  <c:v>16.180216124364286</c:v>
                </c:pt>
                <c:pt idx="66">
                  <c:v>15.350445400198575</c:v>
                </c:pt>
                <c:pt idx="67">
                  <c:v>14.561320717481072</c:v>
                </c:pt>
                <c:pt idx="68">
                  <c:v>13.811057970288632</c:v>
                </c:pt>
                <c:pt idx="69">
                  <c:v>13.097927892436525</c:v>
                </c:pt>
                <c:pt idx="70">
                  <c:v>12.420257336159587</c:v>
                </c:pt>
                <c:pt idx="71">
                  <c:v>11.776430047322462</c:v>
                </c:pt>
                <c:pt idx="72">
                  <c:v>11.164887008657939</c:v>
                </c:pt>
                <c:pt idx="73">
                  <c:v>10.584126414215172</c:v>
                </c:pt>
                <c:pt idx="74">
                  <c:v>10.032703330765537</c:v>
                </c:pt>
                <c:pt idx="75">
                  <c:v>9.5092290952761758</c:v>
                </c:pt>
                <c:pt idx="76">
                  <c:v>9.0123704916401195</c:v>
                </c:pt>
                <c:pt idx="77">
                  <c:v>8.5408487445755359</c:v>
                </c:pt>
                <c:pt idx="78">
                  <c:v>8.0934383639089997</c:v>
                </c:pt>
                <c:pt idx="79">
                  <c:v>7.6689658682796882</c:v>
                </c:pt>
                <c:pt idx="80">
                  <c:v>7.2663084135890781</c:v>
                </c:pt>
                <c:pt idx="81">
                  <c:v>6.8843923482255063</c:v>
                </c:pt>
                <c:pt idx="82">
                  <c:v>6.522191714171087</c:v>
                </c:pt>
                <c:pt idx="83">
                  <c:v>6.1787267105104497</c:v>
                </c:pt>
                <c:pt idx="84">
                  <c:v>5.8530621335709627</c:v>
                </c:pt>
                <c:pt idx="85">
                  <c:v>5.5443058059007022</c:v>
                </c:pt>
                <c:pt idx="86">
                  <c:v>5.2516070045045806</c:v>
                </c:pt>
                <c:pt idx="87">
                  <c:v>4.9741548971850911</c:v>
                </c:pt>
                <c:pt idx="88">
                  <c:v>4.711176994448885</c:v>
                </c:pt>
                <c:pt idx="89">
                  <c:v>4.4619376232231698</c:v>
                </c:pt>
                <c:pt idx="90">
                  <c:v>4.2257364275581644</c:v>
                </c:pt>
                <c:pt idx="91">
                  <c:v>4.0019069005569383</c:v>
                </c:pt>
                <c:pt idx="92">
                  <c:v>3.7898149509570587</c:v>
                </c:pt>
                <c:pt idx="93">
                  <c:v>3.5888575070762592</c:v>
                </c:pt>
                <c:pt idx="94">
                  <c:v>3.3984611602150157</c:v>
                </c:pt>
                <c:pt idx="95">
                  <c:v>3.2180808490718005</c:v>
                </c:pt>
                <c:pt idx="96">
                  <c:v>3.047198586262474</c:v>
                </c:pt>
                <c:pt idx="97">
                  <c:v>2.885322227635319</c:v>
                </c:pt>
                <c:pt idx="98">
                  <c:v>2.7319842847300957</c:v>
                </c:pt>
                <c:pt idx="99">
                  <c:v>2.5867407804364841</c:v>
                </c:pt>
                <c:pt idx="100">
                  <c:v>2.4491701476584566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21-4188-B059-8BA7A586F0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1334623"/>
        <c:axId val="883136831"/>
      </c:lineChart>
      <c:catAx>
        <c:axId val="8013346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00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Time(s)</a:t>
                </a:r>
              </a:p>
            </c:rich>
          </c:tx>
          <c:layout>
            <c:manualLayout>
              <c:xMode val="edge"/>
              <c:yMode val="edge"/>
              <c:x val="0.44591176895128926"/>
              <c:y val="0.897707817043231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136831"/>
        <c:crosses val="autoZero"/>
        <c:auto val="1"/>
        <c:lblAlgn val="ctr"/>
        <c:lblOffset val="100"/>
        <c:tickLblSkip val="20"/>
        <c:noMultiLvlLbl val="0"/>
      </c:catAx>
      <c:valAx>
        <c:axId val="88313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SaltConcentration</a:t>
                </a:r>
                <a:r>
                  <a:rPr lang="en-CA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(g/L)</a:t>
                </a:r>
                <a:endParaRPr lang="en-CA">
                  <a:solidFill>
                    <a:sysClr val="windowText" lastClr="000000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1.3972307107349565E-2"/>
              <c:y val="0.2460589049523223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334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784530741716081"/>
          <c:y val="0.24972817833425015"/>
          <c:w val="0.1253879240540198"/>
          <c:h val="0.430490788399365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197692</xdr:colOff>
      <xdr:row>4</xdr:row>
      <xdr:rowOff>170330</xdr:rowOff>
    </xdr:from>
    <xdr:to>
      <xdr:col>16</xdr:col>
      <xdr:colOff>8964</xdr:colOff>
      <xdr:row>29</xdr:row>
      <xdr:rowOff>8965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42BB62-2B30-4F38-9F64-F41CD1524A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7"/>
  <sheetViews>
    <sheetView tabSelected="1" zoomScale="85" zoomScaleNormal="85" workbookViewId="0">
      <selection activeCell="T28" sqref="T28"/>
    </sheetView>
  </sheetViews>
  <sheetFormatPr defaultRowHeight="14.4" x14ac:dyDescent="0.3"/>
  <cols>
    <col min="1" max="1" width="11.77734375" style="2" customWidth="1"/>
    <col min="2" max="2" width="12.109375" style="2" customWidth="1"/>
    <col min="3" max="3" width="15.44140625" style="2" customWidth="1"/>
    <col min="4" max="4" width="12.77734375" style="2" customWidth="1"/>
    <col min="5" max="5" width="13.33203125" style="2" customWidth="1"/>
    <col min="6" max="16384" width="8.88671875" style="2"/>
  </cols>
  <sheetData>
    <row r="1" spans="1:8" x14ac:dyDescent="0.3">
      <c r="A1" s="1" t="s">
        <v>0</v>
      </c>
      <c r="B1" s="1" t="s">
        <v>1</v>
      </c>
      <c r="C1" s="1" t="s">
        <v>2</v>
      </c>
      <c r="E1" s="8" t="s">
        <v>6</v>
      </c>
      <c r="F1" s="8" t="s">
        <v>3</v>
      </c>
      <c r="G1" s="8" t="s">
        <v>4</v>
      </c>
      <c r="H1" s="8" t="s">
        <v>5</v>
      </c>
    </row>
    <row r="2" spans="1:8" x14ac:dyDescent="0.3">
      <c r="A2" s="3">
        <v>1</v>
      </c>
      <c r="B2" s="3">
        <v>500</v>
      </c>
      <c r="C2" s="3">
        <v>50</v>
      </c>
      <c r="E2" s="8" t="s">
        <v>7</v>
      </c>
      <c r="F2" s="9">
        <f>-C2/B2</f>
        <v>-0.1</v>
      </c>
      <c r="G2" s="9">
        <f>0</f>
        <v>0</v>
      </c>
      <c r="H2" s="9">
        <f>0</f>
        <v>0</v>
      </c>
    </row>
    <row r="3" spans="1:8" x14ac:dyDescent="0.3">
      <c r="A3" s="3">
        <v>2</v>
      </c>
      <c r="B3" s="3">
        <v>250</v>
      </c>
      <c r="C3" s="3">
        <v>50</v>
      </c>
      <c r="E3" s="8" t="s">
        <v>8</v>
      </c>
      <c r="F3" s="9">
        <f>C3/B3</f>
        <v>0.2</v>
      </c>
      <c r="G3" s="9">
        <f>-C3/B3</f>
        <v>-0.2</v>
      </c>
      <c r="H3" s="9">
        <f>0</f>
        <v>0</v>
      </c>
    </row>
    <row r="4" spans="1:8" x14ac:dyDescent="0.3">
      <c r="A4" s="3">
        <v>3</v>
      </c>
      <c r="B4" s="3">
        <v>1000</v>
      </c>
      <c r="C4" s="3">
        <v>50</v>
      </c>
      <c r="E4" s="8" t="s">
        <v>9</v>
      </c>
      <c r="F4" s="9">
        <f>0</f>
        <v>0</v>
      </c>
      <c r="G4" s="9">
        <f>C4/B4</f>
        <v>0.05</v>
      </c>
      <c r="H4" s="9">
        <f>-C4/B4</f>
        <v>-0.05</v>
      </c>
    </row>
    <row r="6" spans="1:8" x14ac:dyDescent="0.3">
      <c r="A6" s="4" t="s">
        <v>11</v>
      </c>
      <c r="B6" s="5" t="s">
        <v>10</v>
      </c>
      <c r="C6" s="5" t="s">
        <v>12</v>
      </c>
      <c r="D6" s="5" t="s">
        <v>13</v>
      </c>
    </row>
    <row r="7" spans="1:8" x14ac:dyDescent="0.3">
      <c r="A7" s="6">
        <v>0</v>
      </c>
      <c r="B7" s="6">
        <v>450</v>
      </c>
      <c r="C7" s="6">
        <v>0</v>
      </c>
      <c r="D7" s="6">
        <v>0</v>
      </c>
    </row>
    <row r="8" spans="1:8" x14ac:dyDescent="0.3">
      <c r="A8" s="7">
        <f>A7+1</f>
        <v>1</v>
      </c>
      <c r="B8" s="7">
        <f t="array" ref="B8:D8">FINDCONCENTRATION($B7:$D7,$F$2:$H$4,$A7:$A8,0.00001)</f>
        <v>407.17643093955064</v>
      </c>
      <c r="C8" s="7">
        <v>77.49665782279483</v>
      </c>
      <c r="D8" s="7">
        <v>2.0032421380118186</v>
      </c>
    </row>
    <row r="9" spans="1:8" x14ac:dyDescent="0.3">
      <c r="A9" s="7">
        <f t="shared" ref="A9:A72" si="0">A8+1</f>
        <v>2</v>
      </c>
      <c r="B9" s="7">
        <f t="array" ref="B9:D9">FINDCONCENTRATION($B8:$D8,$F$2:$H$4,$A8:$A9,0.1)</f>
        <v>364.76254592723046</v>
      </c>
      <c r="C9" s="7">
        <v>138.18413652762337</v>
      </c>
      <c r="D9" s="7">
        <v>7.7830033757819503</v>
      </c>
    </row>
    <row r="10" spans="1:8" x14ac:dyDescent="0.3">
      <c r="A10" s="7">
        <f t="shared" si="0"/>
        <v>3</v>
      </c>
      <c r="B10" s="7">
        <f t="array" ref="B10:D10">FINDCONCENTRATION($B9:$D9,$F$2:$H$4,$A9:$A10,0.1)</f>
        <v>326.76673992230104</v>
      </c>
      <c r="C10" s="7">
        <v>178.97124704817983</v>
      </c>
      <c r="D10" s="7">
        <v>15.939948824491342</v>
      </c>
    </row>
    <row r="11" spans="1:8" x14ac:dyDescent="0.3">
      <c r="A11" s="7">
        <f t="shared" si="0"/>
        <v>4</v>
      </c>
      <c r="B11" s="7">
        <f t="array" ref="B11:D11">FINDCONCENTRATION($B10:$D10,$F$2:$H$4,$A10:$A11,0.1)</f>
        <v>292.72879990466589</v>
      </c>
      <c r="C11" s="7">
        <v>204.61248707356461</v>
      </c>
      <c r="D11" s="7">
        <v>25.415393247037048</v>
      </c>
    </row>
    <row r="12" spans="1:8" x14ac:dyDescent="0.3">
      <c r="A12" s="7">
        <f t="shared" si="0"/>
        <v>5</v>
      </c>
      <c r="B12" s="7">
        <f t="array" ref="B12:D12">FINDCONCENTRATION($B11:$D11,$F$2:$H$4,$A11:$A12,0.1)</f>
        <v>262.23645134141071</v>
      </c>
      <c r="C12" s="7">
        <v>218.83754050906893</v>
      </c>
      <c r="D12" s="7">
        <v>35.43301896394793</v>
      </c>
    </row>
    <row r="13" spans="1:8" x14ac:dyDescent="0.3">
      <c r="A13" s="7">
        <f t="shared" si="0"/>
        <v>6</v>
      </c>
      <c r="B13" s="7">
        <f t="array" ref="B13:D13">FINDCONCENTRATION($B12:$D12,$F$2:$H$4,$A12:$A13,0.1)</f>
        <v>234.92036463283421</v>
      </c>
      <c r="C13" s="7">
        <v>224.56260572600416</v>
      </c>
      <c r="D13" s="7">
        <v>45.43484067527168</v>
      </c>
    </row>
    <row r="14" spans="1:8" x14ac:dyDescent="0.3">
      <c r="A14" s="7">
        <f t="shared" si="0"/>
        <v>7</v>
      </c>
      <c r="B14" s="7">
        <f t="array" ref="B14:D14">FINDCONCENTRATION($B13:$D13,$F$2:$H$4,$A13:$A14,0.1)</f>
        <v>210.44968171634542</v>
      </c>
      <c r="C14" s="7">
        <v>224.05905850443673</v>
      </c>
      <c r="D14" s="7">
        <v>55.030711913147641</v>
      </c>
    </row>
    <row r="15" spans="1:8" x14ac:dyDescent="0.3">
      <c r="A15" s="7">
        <f t="shared" si="0"/>
        <v>8</v>
      </c>
      <c r="B15" s="7">
        <f t="array" ref="B15:D15">FINDCONCENTRATION($B14:$D14,$F$2:$H$4,$A14:$A15,0.1)</f>
        <v>188.52800864553453</v>
      </c>
      <c r="C15" s="7">
        <v>219.08797234236263</v>
      </c>
      <c r="D15" s="7">
        <v>63.958603760087648</v>
      </c>
    </row>
    <row r="16" spans="1:8" x14ac:dyDescent="0.3">
      <c r="A16" s="7">
        <f t="shared" si="0"/>
        <v>9</v>
      </c>
      <c r="B16" s="7">
        <f t="array" ref="B16:D16">FINDCONCENTRATION($B15:$D15,$F$2:$H$4,$A15:$A16,0.1)</f>
        <v>168.88982560570994</v>
      </c>
      <c r="C16" s="7">
        <v>211.00732562488955</v>
      </c>
      <c r="D16" s="7">
        <v>72.05344337438332</v>
      </c>
    </row>
    <row r="17" spans="1:4" x14ac:dyDescent="0.3">
      <c r="A17" s="7">
        <f t="shared" si="0"/>
        <v>10</v>
      </c>
      <c r="B17" s="7">
        <f t="array" ref="B17:D17">FINDCONCENTRATION($B16:$D16,$F$2:$H$4,$A16:$A17,0.1)</f>
        <v>151.29727088327112</v>
      </c>
      <c r="C17" s="7">
        <v>200.85736739158733</v>
      </c>
      <c r="D17" s="7">
        <v>79.222745744096088</v>
      </c>
    </row>
    <row r="18" spans="1:4" x14ac:dyDescent="0.3">
      <c r="A18" s="7">
        <f t="shared" si="0"/>
        <v>11</v>
      </c>
      <c r="B18" s="7">
        <f t="array" ref="B18:D18">FINDCONCENTRATION($B17:$D17,$F$2:$H$4,$A17:$A18,0.1)</f>
        <v>135.53725983569262</v>
      </c>
      <c r="C18" s="7">
        <v>189.42852475954521</v>
      </c>
      <c r="D18" s="7">
        <v>85.427628979811033</v>
      </c>
    </row>
    <row r="19" spans="1:4" x14ac:dyDescent="0.3">
      <c r="A19" s="7">
        <f t="shared" si="0"/>
        <v>12</v>
      </c>
      <c r="B19" s="7">
        <f t="array" ref="B19:D19">FINDCONCENTRATION($B18:$D18,$F$2:$H$4,$A18:$A19,0.1)</f>
        <v>121.41890396649092</v>
      </c>
      <c r="C19" s="7">
        <v>177.31536221833829</v>
      </c>
      <c r="D19" s="7">
        <v>90.668089025870671</v>
      </c>
    </row>
    <row r="20" spans="1:4" x14ac:dyDescent="0.3">
      <c r="A20" s="7">
        <f t="shared" si="0"/>
        <v>13</v>
      </c>
      <c r="B20" s="7">
        <f t="array" ref="B20:D20">FINDCONCENTRATION($B19:$D19,$F$2:$H$4,$A19:$A20,0.1)</f>
        <v>108.771198844479</v>
      </c>
      <c r="C20" s="7">
        <v>164.9594032987969</v>
      </c>
      <c r="D20" s="7">
        <v>94.971638092139898</v>
      </c>
    </row>
    <row r="21" spans="1:4" x14ac:dyDescent="0.3">
      <c r="A21" s="7">
        <f t="shared" si="0"/>
        <v>14</v>
      </c>
      <c r="B21" s="7">
        <f t="array" ref="B21:D21">FINDCONCENTRATION($B20:$D20,$F$2:$H$4,$A20:$A21,0.1)</f>
        <v>97.440952862911246</v>
      </c>
      <c r="C21" s="7">
        <v>152.68306426197628</v>
      </c>
      <c r="D21" s="7">
        <v>98.384593747616393</v>
      </c>
    </row>
    <row r="22" spans="1:4" x14ac:dyDescent="0.3">
      <c r="A22" s="7">
        <f t="shared" si="0"/>
        <v>15</v>
      </c>
      <c r="B22" s="7">
        <f t="array" ref="B22:D22">FINDCONCENTRATION($B21:$D21,$F$2:$H$4,$A21:$A22,0.1)</f>
        <v>87.290931751222743</v>
      </c>
      <c r="C22" s="7">
        <v>140.71649996536956</v>
      </c>
      <c r="D22" s="7">
        <v>100.96545158511593</v>
      </c>
    </row>
    <row r="23" spans="1:4" x14ac:dyDescent="0.3">
      <c r="A23" s="7">
        <f t="shared" si="0"/>
        <v>16</v>
      </c>
      <c r="B23" s="7">
        <f t="array" ref="B23:D23">FINDCONCENTRATION($B22:$D22,$F$2:$H$4,$A22:$A23,0.1)</f>
        <v>78.198196365307709</v>
      </c>
      <c r="C23" s="7">
        <v>129.21880188417279</v>
      </c>
      <c r="D23" s="7">
        <v>102.77989096781062</v>
      </c>
    </row>
    <row r="24" spans="1:4" x14ac:dyDescent="0.3">
      <c r="A24" s="7">
        <f t="shared" si="0"/>
        <v>17</v>
      </c>
      <c r="B24" s="7">
        <f t="array" ref="B24:D24">FINDCONCENTRATION($B23:$D23,$F$2:$H$4,$A23:$A24,0.1)</f>
        <v>70.052613623311075</v>
      </c>
      <c r="C24" s="7">
        <v>118.29469970251365</v>
      </c>
      <c r="D24" s="7">
        <v>103.89705645938282</v>
      </c>
    </row>
    <row r="25" spans="1:4" x14ac:dyDescent="0.3">
      <c r="A25" s="7">
        <f t="shared" si="0"/>
        <v>18</v>
      </c>
      <c r="B25" s="7">
        <f t="array" ref="B25:D25">FINDCONCENTRATION($B24:$D24,$F$2:$H$4,$A24:$A25,0.1)</f>
        <v>62.755522551080738</v>
      </c>
      <c r="C25" s="7">
        <v>108.0076867493154</v>
      </c>
      <c r="D25" s="7">
        <v>104.38683181347471</v>
      </c>
    </row>
    <row r="26" spans="1:4" x14ac:dyDescent="0.3">
      <c r="A26" s="7">
        <f t="shared" si="0"/>
        <v>19</v>
      </c>
      <c r="B26" s="7">
        <f t="array" ref="B26:D26">FINDCONCENTRATION($B25:$D25,$F$2:$H$4,$A25:$A26,0.1)</f>
        <v>56.218539280148832</v>
      </c>
      <c r="C26" s="7">
        <v>98.390304450475497</v>
      </c>
      <c r="D26" s="7">
        <v>104.31788261629966</v>
      </c>
    </row>
    <row r="27" spans="1:4" x14ac:dyDescent="0.3">
      <c r="A27" s="7">
        <f t="shared" si="0"/>
        <v>20</v>
      </c>
      <c r="B27" s="7">
        <f t="array" ref="B27:D27">FINDCONCENTRATION($B26:$D26,$F$2:$H$4,$A26:$A27,0.1)</f>
        <v>50.362486524131562</v>
      </c>
      <c r="C27" s="7">
        <v>89.45217277103589</v>
      </c>
      <c r="D27" s="7">
        <v>103.75629085255233</v>
      </c>
    </row>
    <row r="28" spans="1:4" x14ac:dyDescent="0.3">
      <c r="A28" s="7">
        <f t="shared" si="0"/>
        <v>21</v>
      </c>
      <c r="B28" s="7">
        <f t="array" ref="B28:D28">FINDCONCENTRATION($B27:$D27,$F$2:$H$4,$A27:$A28,0.1)</f>
        <v>45.116434567145483</v>
      </c>
      <c r="C28" s="7">
        <v>81.186235003441183</v>
      </c>
      <c r="D28" s="7">
        <v>102.76464221351182</v>
      </c>
    </row>
    <row r="29" spans="1:4" x14ac:dyDescent="0.3">
      <c r="A29" s="7">
        <f t="shared" si="0"/>
        <v>22</v>
      </c>
      <c r="B29" s="7">
        <f t="array" ref="B29:D29">FINDCONCENTRATION($B28:$D28,$F$2:$H$4,$A28:$A29,0.1)</f>
        <v>40.416842148494759</v>
      </c>
      <c r="C29" s="7">
        <v>73.573590346528178</v>
      </c>
      <c r="D29" s="7">
        <v>101.40145682128913</v>
      </c>
    </row>
    <row r="30" spans="1:4" x14ac:dyDescent="0.3">
      <c r="A30" s="7">
        <f t="shared" si="0"/>
        <v>23</v>
      </c>
      <c r="B30" s="7">
        <f t="array" ref="B30:D30">FINDCONCENTRATION($B29:$D29,$F$2:$H$4,$A29:$A30,0.1)</f>
        <v>36.206786837847758</v>
      </c>
      <c r="C30" s="7">
        <v>66.587211803738839</v>
      </c>
      <c r="D30" s="7">
        <v>99.720877753044121</v>
      </c>
    </row>
    <row r="31" spans="1:4" x14ac:dyDescent="0.3">
      <c r="A31" s="7">
        <f t="shared" si="0"/>
        <v>24</v>
      </c>
      <c r="B31" s="7">
        <f t="array" ref="B31:D31">FINDCONCENTRATION($B30:$D30,$F$2:$H$4,$A30:$A31,0.1)</f>
        <v>32.435275579048884</v>
      </c>
      <c r="C31" s="7">
        <v>60.194786230726052</v>
      </c>
      <c r="D31" s="7">
        <v>97.772550553358414</v>
      </c>
    </row>
    <row r="32" spans="1:4" x14ac:dyDescent="0.3">
      <c r="A32" s="7">
        <f t="shared" si="0"/>
        <v>25</v>
      </c>
      <c r="B32" s="7">
        <f t="array" ref="B32:D32">FINDCONCENTRATION($B31:$D31,$F$2:$H$4,$A31:$A32,0.1)</f>
        <v>29.056627051730441</v>
      </c>
      <c r="C32" s="7">
        <v>54.360864853272204</v>
      </c>
      <c r="D32" s="7">
        <v>95.601641813933952</v>
      </c>
    </row>
    <row r="33" spans="1:4" x14ac:dyDescent="0.3">
      <c r="A33" s="7">
        <f t="shared" si="0"/>
        <v>26</v>
      </c>
      <c r="B33" s="7">
        <f t="array" ref="B33:D33">FINDCONCENTRATION($B32:$D32,$F$2:$H$4,$A32:$A33,0.1)</f>
        <v>26.029918369761251</v>
      </c>
      <c r="C33" s="7">
        <v>49.048473828075593</v>
      </c>
      <c r="D33" s="7">
        <v>93.248956671149813</v>
      </c>
    </row>
    <row r="34" spans="1:4" x14ac:dyDescent="0.3">
      <c r="A34" s="7">
        <f t="shared" si="0"/>
        <v>27</v>
      </c>
      <c r="B34" s="7">
        <f t="array" ref="B34:D34">FINDCONCENTRATION($B33:$D33,$F$2:$H$4,$A33:$A34,0.1)</f>
        <v>23.318489414829827</v>
      </c>
      <c r="C34" s="7">
        <v>44.220303485015677</v>
      </c>
      <c r="D34" s="7">
        <v>90.751124358575879</v>
      </c>
    </row>
    <row r="35" spans="1:4" x14ac:dyDescent="0.3">
      <c r="A35" s="7">
        <f t="shared" si="0"/>
        <v>28</v>
      </c>
      <c r="B35" s="7">
        <f t="array" ref="B35:D35">FINDCONCENTRATION($B34:$D34,$F$2:$H$4,$A34:$A35,0.1)</f>
        <v>20.889498801548417</v>
      </c>
      <c r="C35" s="7">
        <v>39.839570209869137</v>
      </c>
      <c r="D35" s="7">
        <v>88.140828260804909</v>
      </c>
    </row>
    <row r="36" spans="1:4" x14ac:dyDescent="0.3">
      <c r="A36" s="7">
        <f t="shared" si="0"/>
        <v>29</v>
      </c>
      <c r="B36" s="7">
        <f t="array" ref="B36:D36">FINDCONCENTRATION($B35:$D35,$F$2:$H$4,$A35:$A36,0.1)</f>
        <v>18.71352609583597</v>
      </c>
      <c r="C36" s="7">
        <v>35.870625250859106</v>
      </c>
      <c r="D36" s="7">
        <v>85.447062652445396</v>
      </c>
    </row>
    <row r="37" spans="1:4" x14ac:dyDescent="0.3">
      <c r="A37" s="7">
        <f t="shared" si="0"/>
        <v>30</v>
      </c>
      <c r="B37" s="7">
        <f t="array" ref="B37:D37">FINDCONCENTRATION($B36:$D36,$F$2:$H$4,$A36:$A37,0.1)</f>
        <v>16.764215468567187</v>
      </c>
      <c r="C37" s="7">
        <v>32.279369059104297</v>
      </c>
      <c r="D37" s="7">
        <v>82.695402795678703</v>
      </c>
    </row>
    <row r="38" spans="1:4" x14ac:dyDescent="0.3">
      <c r="A38" s="7">
        <f t="shared" si="0"/>
        <v>31</v>
      </c>
      <c r="B38" s="7">
        <f t="array" ref="B38:D38">FINDCONCENTRATION($B37:$D37,$F$2:$H$4,$A37:$A38,0.1)</f>
        <v>15.017956468347386</v>
      </c>
      <c r="C38" s="7">
        <v>29.033517299458342</v>
      </c>
      <c r="D38" s="7">
        <v>79.908278569928129</v>
      </c>
    </row>
    <row r="39" spans="1:4" x14ac:dyDescent="0.3">
      <c r="A39" s="7">
        <f t="shared" si="0"/>
        <v>32</v>
      </c>
      <c r="B39" s="7">
        <f t="array" ref="B39:D39">FINDCONCENTRATION($B38:$D38,$F$2:$H$4,$A38:$A39,0.1)</f>
        <v>13.45359804686724</v>
      </c>
      <c r="C39" s="7">
        <v>26.102754751616732</v>
      </c>
      <c r="D39" s="7">
        <v>77.105244524100868</v>
      </c>
    </row>
    <row r="40" spans="1:4" x14ac:dyDescent="0.3">
      <c r="A40" s="7">
        <f t="shared" si="0"/>
        <v>33</v>
      </c>
      <c r="B40" s="7">
        <f t="array" ref="B40:D40">FINDCONCENTRATION($B39:$D39,$F$2:$H$4,$A39:$A40,0.1)</f>
        <v>12.052192373053776</v>
      </c>
      <c r="C40" s="7">
        <v>23.458805447007343</v>
      </c>
      <c r="D40" s="7">
        <v>74.303241339890874</v>
      </c>
    </row>
    <row r="41" spans="1:4" x14ac:dyDescent="0.3">
      <c r="A41" s="7">
        <f t="shared" si="0"/>
        <v>34</v>
      </c>
      <c r="B41" s="7">
        <f t="array" ref="B41:D41">FINDCONCENTRATION($B40:$D40,$F$2:$H$4,$A40:$A41,0.1)</f>
        <v>10.796765333041842</v>
      </c>
      <c r="C41" s="7">
        <v>21.075441142825795</v>
      </c>
      <c r="D41" s="7">
        <v>71.516845304644832</v>
      </c>
    </row>
    <row r="42" spans="1:4" x14ac:dyDescent="0.3">
      <c r="A42" s="7">
        <f t="shared" si="0"/>
        <v>35</v>
      </c>
      <c r="B42" s="7">
        <f t="array" ref="B42:D42">FINDCONCENTRATION($B41:$D41,$F$2:$H$4,$A41:$A42,0.1)</f>
        <v>9.6721109362144713</v>
      </c>
      <c r="C42" s="7">
        <v>18.928445290863063</v>
      </c>
      <c r="D42" s="7">
        <v>68.758503618419851</v>
      </c>
    </row>
    <row r="43" spans="1:4" x14ac:dyDescent="0.3">
      <c r="A43" s="7">
        <f t="shared" si="0"/>
        <v>36</v>
      </c>
      <c r="B43" s="7">
        <f t="array" ref="B43:D43">FINDCONCENTRATION($B42:$D42,$F$2:$H$4,$A42:$A43,0.1)</f>
        <v>8.6646071371158744</v>
      </c>
      <c r="C43" s="7">
        <v>16.995545751673028</v>
      </c>
      <c r="D43" s="7">
        <v>66.038754284849972</v>
      </c>
    </row>
    <row r="44" spans="1:4" x14ac:dyDescent="0.3">
      <c r="A44" s="7">
        <f t="shared" si="0"/>
        <v>37</v>
      </c>
      <c r="B44" s="7">
        <f t="array" ref="B44:D44">FINDCONCENTRATION($B43:$D43,$F$2:$H$4,$A43:$A44,0.1)</f>
        <v>7.7620508424340748</v>
      </c>
      <c r="C44" s="7">
        <v>15.256326423146541</v>
      </c>
      <c r="D44" s="7">
        <v>63.366430024971791</v>
      </c>
    </row>
    <row r="45" spans="1:4" x14ac:dyDescent="0.3">
      <c r="A45" s="7">
        <f t="shared" si="0"/>
        <v>38</v>
      </c>
      <c r="B45" s="7">
        <f t="array" ref="B45:D45">FINDCONCENTRATION($B44:$D44,$F$2:$H$4,$A44:$A45,0.1)</f>
        <v>6.9535101046238905</v>
      </c>
      <c r="C45" s="7">
        <v>13.692125528022773</v>
      </c>
      <c r="D45" s="7">
        <v>60.748846159295908</v>
      </c>
    </row>
    <row r="46" spans="1:4" x14ac:dyDescent="0.3">
      <c r="A46" s="7">
        <f t="shared" si="0"/>
        <v>39</v>
      </c>
      <c r="B46" s="7">
        <f t="array" ref="B46:D46">FINDCONCENTRATION($B45:$D45,$F$2:$H$4,$A45:$A46,0.1)</f>
        <v>6.2291917119089932</v>
      </c>
      <c r="C46" s="7">
        <v>12.285926402501325</v>
      </c>
      <c r="D46" s="7">
        <v>58.19197276734991</v>
      </c>
    </row>
    <row r="47" spans="1:4" x14ac:dyDescent="0.3">
      <c r="A47" s="7">
        <f t="shared" si="0"/>
        <v>40</v>
      </c>
      <c r="B47" s="7">
        <f t="array" ref="B47:D47">FINDCONCENTRATION($B46:$D46,$F$2:$H$4,$A46:$A47,0.1)</f>
        <v>5.5803225708858744</v>
      </c>
      <c r="C47" s="7">
        <v>11.022245140283234</v>
      </c>
      <c r="D47" s="7">
        <v>55.70059168819536</v>
      </c>
    </row>
    <row r="48" spans="1:4" x14ac:dyDescent="0.3">
      <c r="A48" s="7">
        <f t="shared" si="0"/>
        <v>41</v>
      </c>
      <c r="B48" s="7">
        <f t="array" ref="B48:D48">FINDCONCENTRATION($B47:$D47,$F$2:$H$4,$A47:$A48,0.1)</f>
        <v>4.9990434450114538</v>
      </c>
      <c r="C48" s="7">
        <v>9.8870182871572148</v>
      </c>
      <c r="D48" s="7">
        <v>53.278439095686331</v>
      </c>
    </row>
    <row r="49" spans="1:4" x14ac:dyDescent="0.3">
      <c r="A49" s="7">
        <f t="shared" si="0"/>
        <v>42</v>
      </c>
      <c r="B49" s="7">
        <f t="array" ref="B49:D49">FINDCONCENTRATION($B48:$D48,$F$2:$H$4,$A48:$A49,0.1)</f>
        <v>4.4783137619130082</v>
      </c>
      <c r="C49" s="7">
        <v>8.8674928821362826</v>
      </c>
      <c r="D49" s="7">
        <v>50.928334488648808</v>
      </c>
    </row>
    <row r="50" spans="1:4" x14ac:dyDescent="0.3">
      <c r="A50" s="7">
        <f t="shared" si="0"/>
        <v>43</v>
      </c>
      <c r="B50" s="7">
        <f t="array" ref="B50:D50">FINDCONCENTRATION($B49:$D49,$F$2:$H$4,$A49:$A50,0.1)</f>
        <v>4.0118263365269646</v>
      </c>
      <c r="C50" s="7">
        <v>7.9521204475269318</v>
      </c>
      <c r="D50" s="7">
        <v>48.6522969945282</v>
      </c>
    </row>
    <row r="51" spans="1:4" x14ac:dyDescent="0.3">
      <c r="A51" s="7">
        <f t="shared" si="0"/>
        <v>44</v>
      </c>
      <c r="B51" s="7">
        <f t="array" ref="B51:D51">FINDCONCENTRATION($B50:$D50,$F$2:$H$4,$A50:$A51,0.1)</f>
        <v>3.5939309771756922</v>
      </c>
      <c r="C51" s="7">
        <v>7.1304559986887543</v>
      </c>
      <c r="D51" s="7">
        <v>46.451649907723464</v>
      </c>
    </row>
    <row r="52" spans="1:4" x14ac:dyDescent="0.3">
      <c r="A52" s="7">
        <f t="shared" si="0"/>
        <v>45</v>
      </c>
      <c r="B52" s="7">
        <f t="array" ref="B52:D52">FINDCONCENTRATION($B51:$D51,$F$2:$H$4,$A51:$A52,0.1)</f>
        <v>3.2195660492833524</v>
      </c>
      <c r="C52" s="7">
        <v>6.3930627400187046</v>
      </c>
      <c r="D52" s="7">
        <v>44.327114380412873</v>
      </c>
    </row>
    <row r="53" spans="1:4" x14ac:dyDescent="0.3">
      <c r="A53" s="7">
        <f t="shared" si="0"/>
        <v>46</v>
      </c>
      <c r="B53" s="7">
        <f t="array" ref="B53:D53">FINDCONCENTRATION($B52:$D52,$F$2:$H$4,$A52:$A53,0.1)</f>
        <v>2.8841971678164713</v>
      </c>
      <c r="C53" s="7">
        <v>5.7314228093770714</v>
      </c>
      <c r="D53" s="7">
        <v>42.278893161619038</v>
      </c>
    </row>
    <row r="54" spans="1:4" x14ac:dyDescent="0.3">
      <c r="A54" s="7">
        <f t="shared" si="0"/>
        <v>47</v>
      </c>
      <c r="B54" s="7">
        <f t="array" ref="B54:D54">FINDCONCENTRATION($B53:$D53,$F$2:$H$4,$A53:$A54,0.1)</f>
        <v>2.5837622758794465</v>
      </c>
      <c r="C54" s="7">
        <v>5.1378542069403457</v>
      </c>
      <c r="D54" s="7">
        <v>40.306745245294351</v>
      </c>
    </row>
    <row r="55" spans="1:4" x14ac:dyDescent="0.3">
      <c r="A55" s="7">
        <f t="shared" si="0"/>
        <v>48</v>
      </c>
      <c r="B55" s="7">
        <f t="array" ref="B55:D55">FINDCONCENTRATION($B54:$D54,$F$2:$H$4,$A54:$A55,0.1)</f>
        <v>2.3146224442456482</v>
      </c>
      <c r="C55" s="7">
        <v>4.6054338790252816</v>
      </c>
      <c r="D55" s="7">
        <v>38.410052244715196</v>
      </c>
    </row>
    <row r="56" spans="1:4" x14ac:dyDescent="0.3">
      <c r="A56" s="7">
        <f t="shared" si="0"/>
        <v>49</v>
      </c>
      <c r="B56" s="7">
        <f t="array" ref="B56:D56">FINDCONCENTRATION($B55:$D55,$F$2:$H$4,$A55:$A56,0.1)</f>
        <v>2.0735177958979034</v>
      </c>
      <c r="C56" s="7">
        <v>4.1279268090951673</v>
      </c>
      <c r="D56" s="7">
        <v>36.587877261780569</v>
      </c>
    </row>
    <row r="57" spans="1:4" x14ac:dyDescent="0.3">
      <c r="A57" s="7">
        <f t="shared" si="0"/>
        <v>50</v>
      </c>
      <c r="B57" s="7">
        <f t="array" ref="B57:D57">FINDCONCENTRATION($B56:$D56,$F$2:$H$4,$A56:$A57,0.1)</f>
        <v>1.8575280217273316</v>
      </c>
      <c r="C57" s="7">
        <v>3.699720886126646</v>
      </c>
      <c r="D57" s="7">
        <v>34.839016968414725</v>
      </c>
    </row>
    <row r="58" spans="1:4" x14ac:dyDescent="0.3">
      <c r="A58" s="7">
        <f t="shared" si="0"/>
        <v>51</v>
      </c>
      <c r="B58" s="7">
        <f t="array" ref="B58:D58">FINDCONCENTRATION($B57:$D57,$F$2:$H$4,$A57:$A58,0.1)</f>
        <v>1.6640370091485566</v>
      </c>
      <c r="C58" s="7">
        <v>3.3157672662679953</v>
      </c>
      <c r="D58" s="7">
        <v>33.162047565020877</v>
      </c>
    </row>
    <row r="59" spans="1:4" x14ac:dyDescent="0.3">
      <c r="A59" s="7">
        <f t="shared" si="0"/>
        <v>52</v>
      </c>
      <c r="B59" s="7">
        <f t="array" ref="B59:D59">FINDCONCENTRATION($B58:$D58,$F$2:$H$4,$A58:$A59,0.1)</f>
        <v>1.4907011552057972</v>
      </c>
      <c r="C59" s="7">
        <v>2.9715259105634186</v>
      </c>
      <c r="D59" s="7">
        <v>31.555365229170029</v>
      </c>
    </row>
    <row r="60" spans="1:4" x14ac:dyDescent="0.3">
      <c r="A60" s="7">
        <f t="shared" si="0"/>
        <v>53</v>
      </c>
      <c r="B60" s="7">
        <f t="array" ref="B60:D60">FINDCONCENTRATION($B59:$D59,$F$2:$H$4,$A59:$A60,0.1)</f>
        <v>1.335420980371665</v>
      </c>
      <c r="C60" s="7">
        <v>2.6629159642066118</v>
      </c>
      <c r="D60" s="7">
        <v>30.017221617390454</v>
      </c>
    </row>
    <row r="61" spans="1:4" x14ac:dyDescent="0.3">
      <c r="A61" s="7">
        <f t="shared" si="0"/>
        <v>54</v>
      </c>
      <c r="B61" s="7">
        <f t="array" ref="B61:D61">FINDCONCENTRATION($B60:$D60,$F$2:$H$4,$A60:$A61,0.1)</f>
        <v>1.1963156992191504</v>
      </c>
      <c r="C61" s="7">
        <v>2.386270637223102</v>
      </c>
      <c r="D61" s="7">
        <v>28.545754934703591</v>
      </c>
    </row>
    <row r="62" spans="1:4" x14ac:dyDescent="0.3">
      <c r="A62" s="7">
        <f t="shared" si="0"/>
        <v>55</v>
      </c>
      <c r="B62" s="7">
        <f t="array" ref="B62:D62">FINDCONCENTRATION($B61:$D61,$F$2:$H$4,$A61:$A62,0.1)</f>
        <v>1.0717004399615555</v>
      </c>
      <c r="C62" s="7">
        <v>2.1382962494770399</v>
      </c>
      <c r="D62" s="7">
        <v>27.139017040859898</v>
      </c>
    </row>
    <row r="63" spans="1:4" x14ac:dyDescent="0.3">
      <c r="A63" s="7">
        <f t="shared" si="0"/>
        <v>56</v>
      </c>
      <c r="B63" s="7">
        <f t="array" ref="B63:D63">FINDCONCENTRATION($B62:$D62,$F$2:$H$4,$A62:$A63,0.1)</f>
        <v>0.96006583693874337</v>
      </c>
      <c r="C63" s="7">
        <v>1.9160351119866412</v>
      </c>
      <c r="D63" s="7">
        <v>25.794997019314483</v>
      </c>
    </row>
    <row r="64" spans="1:4" x14ac:dyDescent="0.3">
      <c r="A64" s="7">
        <f t="shared" si="0"/>
        <v>57</v>
      </c>
      <c r="B64" s="7">
        <f t="array" ref="B64:D64">FINDCONCENTRATION($B63:$D63,$F$2:$H$4,$A63:$A64,0.1)</f>
        <v>0.8600597488697066</v>
      </c>
      <c r="C64" s="7">
        <v>1.7168319298140129</v>
      </c>
      <c r="D64" s="7">
        <v>24.511641594973131</v>
      </c>
    </row>
    <row r="65" spans="1:4" x14ac:dyDescent="0.3">
      <c r="A65" s="7">
        <f t="shared" si="0"/>
        <v>58</v>
      </c>
      <c r="B65" s="7">
        <f t="array" ref="B65:D65">FINDCONCENTRATION($B64:$D64,$F$2:$H$4,$A64:$A65,0.1)</f>
        <v>0.77047088143916453</v>
      </c>
      <c r="C65" s="7">
        <v>1.53830342781783</v>
      </c>
      <c r="D65" s="7">
        <v>23.286872749660688</v>
      </c>
    </row>
    <row r="66" spans="1:4" x14ac:dyDescent="0.3">
      <c r="A66" s="7">
        <f t="shared" si="0"/>
        <v>59</v>
      </c>
      <c r="B66" s="7">
        <f t="array" ref="B66:D66">FINDCONCENTRATION($B65:$D65,$F$2:$H$4,$A65:$A66,0.1)</f>
        <v>0.69021411585158776</v>
      </c>
      <c r="C66" s="7">
        <v>1.3783109182211704</v>
      </c>
      <c r="D66" s="7">
        <v>22.118602850076364</v>
      </c>
    </row>
    <row r="67" spans="1:4" x14ac:dyDescent="0.3">
      <c r="A67" s="7">
        <f t="shared" si="0"/>
        <v>60</v>
      </c>
      <c r="B67" s="7">
        <f t="array" ref="B67:D67">FINDCONCENTRATION($B66:$D66,$F$2:$H$4,$A66:$A67,0.1)</f>
        <v>0.61831736564908013</v>
      </c>
      <c r="C67" s="7">
        <v>1.234935547427165</v>
      </c>
      <c r="D67" s="7">
        <v>21.004747571612096</v>
      </c>
    </row>
    <row r="68" spans="1:4" x14ac:dyDescent="0.3">
      <c r="A68" s="7">
        <f t="shared" si="0"/>
        <v>61</v>
      </c>
      <c r="B68" s="7">
        <f t="array" ref="B68:D68">FINDCONCENTRATION($B67:$D67,$F$2:$H$4,$A67:$A68,0.1)</f>
        <v>0.55390980260019096</v>
      </c>
      <c r="C68" s="7">
        <v>1.1064559782023065</v>
      </c>
      <c r="D68" s="7">
        <v>19.943236872699188</v>
      </c>
    </row>
    <row r="69" spans="1:4" x14ac:dyDescent="0.3">
      <c r="A69" s="7">
        <f t="shared" si="0"/>
        <v>62</v>
      </c>
      <c r="B69" s="7">
        <f t="array" ref="B69:D69">FINDCONCENTRATION($B68:$D68,$F$2:$H$4,$A68:$A69,0.1)</f>
        <v>0.4962113090491993</v>
      </c>
      <c r="C69" s="7">
        <v>0.99132828179870758</v>
      </c>
      <c r="D69" s="7">
        <v>18.932024248168805</v>
      </c>
    </row>
    <row r="70" spans="1:4" x14ac:dyDescent="0.3">
      <c r="A70" s="7">
        <f t="shared" si="0"/>
        <v>63</v>
      </c>
      <c r="B70" s="7">
        <f t="array" ref="B70:D70">FINDCONCENTRATION($B69:$D69,$F$2:$H$4,$A69:$A70,0.1)</f>
        <v>0.44452302897055673</v>
      </c>
      <c r="C70" s="7">
        <v>0.88816783248905684</v>
      </c>
      <c r="D70" s="7">
        <v>17.969094466307066</v>
      </c>
    </row>
    <row r="71" spans="1:4" x14ac:dyDescent="0.3">
      <c r="A71" s="7">
        <f t="shared" si="0"/>
        <v>64</v>
      </c>
      <c r="B71" s="7">
        <f t="array" ref="B71:D71">FINDCONCENTRATION($B70:$D70,$F$2:$H$4,$A70:$A71,0.1)</f>
        <v>0.39821890328091319</v>
      </c>
      <c r="C71" s="7">
        <v>0.79573301412749153</v>
      </c>
      <c r="D71" s="7">
        <v>17.052469972693071</v>
      </c>
    </row>
    <row r="72" spans="1:4" x14ac:dyDescent="0.3">
      <c r="A72" s="7">
        <f t="shared" si="0"/>
        <v>65</v>
      </c>
      <c r="B72" s="7">
        <f t="array" ref="B72:D72">FINDCONCENTRATION($B71:$D71,$F$2:$H$4,$A71:$A72,0.1)</f>
        <v>0.35673808688268616</v>
      </c>
      <c r="C72" s="7">
        <v>0.71291056458798818</v>
      </c>
      <c r="D72" s="7">
        <v>16.180216124364286</v>
      </c>
    </row>
    <row r="73" spans="1:4" x14ac:dyDescent="0.3">
      <c r="A73" s="7">
        <f t="shared" ref="A73:A107" si="1">A72+1</f>
        <v>66</v>
      </c>
      <c r="B73" s="7">
        <f t="array" ref="B73:D73">FINDCONCENTRATION($B72:$D72,$F$2:$H$4,$A72:$A73,0.1)</f>
        <v>0.31957815559284292</v>
      </c>
      <c r="C73" s="7">
        <v>0.63870239918839966</v>
      </c>
      <c r="D73" s="7">
        <v>15.350445400198575</v>
      </c>
    </row>
    <row r="74" spans="1:4" x14ac:dyDescent="0.3">
      <c r="A74" s="7">
        <f t="shared" si="1"/>
        <v>67</v>
      </c>
      <c r="B74" s="7">
        <f t="array" ref="B74:D74">FINDCONCENTRATION($B73:$D73,$F$2:$H$4,$A73:$A74,0.1)</f>
        <v>0.28628902067782008</v>
      </c>
      <c r="C74" s="7">
        <v>0.57221376844508876</v>
      </c>
      <c r="D74" s="7">
        <v>14.561320717481072</v>
      </c>
    </row>
    <row r="75" spans="1:4" x14ac:dyDescent="0.3">
      <c r="A75" s="7">
        <f t="shared" si="1"/>
        <v>68</v>
      </c>
      <c r="B75" s="7">
        <f t="array" ref="B75:D75">FINDCONCENTRATION($B74:$D74,$F$2:$H$4,$A74:$A75,0.1)</f>
        <v>0.25646747728617547</v>
      </c>
      <c r="C75" s="7">
        <v>0.51264261871395789</v>
      </c>
      <c r="D75" s="7">
        <v>13.811057970288632</v>
      </c>
    </row>
    <row r="76" spans="1:4" x14ac:dyDescent="0.3">
      <c r="A76" s="7">
        <f t="shared" si="1"/>
        <v>69</v>
      </c>
      <c r="B76" s="7">
        <f t="array" ref="B76:D76">FINDCONCENTRATION($B75:$D75,$F$2:$H$4,$A75:$A76,0.1)</f>
        <v>0.22975232074846674</v>
      </c>
      <c r="C76" s="7">
        <v>0.45927003647518455</v>
      </c>
      <c r="D76" s="7">
        <v>13.097927892436525</v>
      </c>
    </row>
    <row r="77" spans="1:4" x14ac:dyDescent="0.3">
      <c r="A77" s="7">
        <f t="shared" si="1"/>
        <v>70</v>
      </c>
      <c r="B77" s="7">
        <f t="array" ref="B77:D77">FINDCONCENTRATION($B76:$D76,$F$2:$H$4,$A76:$A77,0.1)</f>
        <v>0.20581997159197576</v>
      </c>
      <c r="C77" s="7">
        <v>0.41145166824384555</v>
      </c>
      <c r="D77" s="7">
        <v>12.420257336159587</v>
      </c>
    </row>
    <row r="78" spans="1:4" x14ac:dyDescent="0.3">
      <c r="A78" s="7">
        <f t="shared" si="1"/>
        <v>71</v>
      </c>
      <c r="B78" s="7">
        <f t="array" ref="B78:D78">FINDCONCENTRATION($B77:$D77,$F$2:$H$4,$A77:$A78,0.1)</f>
        <v>0.18438055627955793</v>
      </c>
      <c r="C78" s="7">
        <v>0.36861001838045043</v>
      </c>
      <c r="D78" s="7">
        <v>11.776430047322462</v>
      </c>
    </row>
    <row r="79" spans="1:4" x14ac:dyDescent="0.3">
      <c r="A79" s="7">
        <f t="shared" si="1"/>
        <v>72</v>
      </c>
      <c r="B79" s="7">
        <f t="array" ref="B79:D79">FINDCONCENTRATION($B78:$D78,$F$2:$H$4,$A78:$A79,0.1)</f>
        <v>0.16517439620171739</v>
      </c>
      <c r="C79" s="7">
        <v>0.330227536484757</v>
      </c>
      <c r="D79" s="7">
        <v>11.164887008657939</v>
      </c>
    </row>
    <row r="80" spans="1:4" x14ac:dyDescent="0.3">
      <c r="A80" s="7">
        <f t="shared" si="1"/>
        <v>73</v>
      </c>
      <c r="B80" s="7">
        <f t="array" ref="B80:D80">FINDCONCENTRATION($B79:$D79,$F$2:$H$4,$A79:$A80,0.1)</f>
        <v>0.14796886239585938</v>
      </c>
      <c r="C80" s="7">
        <v>0.29584041463758665</v>
      </c>
      <c r="D80" s="7">
        <v>10.584126414215172</v>
      </c>
    </row>
    <row r="81" spans="1:4" x14ac:dyDescent="0.3">
      <c r="A81" s="7">
        <f t="shared" si="1"/>
        <v>74</v>
      </c>
      <c r="B81" s="7">
        <f t="array" ref="B81:D81">FINDCONCENTRATION($B80:$D80,$F$2:$H$4,$A80:$A81,0.1)</f>
        <v>0.13255555789643098</v>
      </c>
      <c r="C81" s="7">
        <v>0.26503302256491496</v>
      </c>
      <c r="D81" s="7">
        <v>10.032703330765537</v>
      </c>
    </row>
    <row r="82" spans="1:4" x14ac:dyDescent="0.3">
      <c r="A82" s="7">
        <f t="shared" si="1"/>
        <v>75</v>
      </c>
      <c r="B82" s="7">
        <f t="array" ref="B82:D82">FINDCONCENTRATION($B81:$D81,$F$2:$H$4,$A81:$A82,0.1)</f>
        <v>0.11874779358799578</v>
      </c>
      <c r="C82" s="7">
        <v>0.2374329158925518</v>
      </c>
      <c r="D82" s="7">
        <v>9.5092290952761758</v>
      </c>
    </row>
    <row r="83" spans="1:4" x14ac:dyDescent="0.3">
      <c r="A83" s="7">
        <f t="shared" si="1"/>
        <v>76</v>
      </c>
      <c r="B83" s="7">
        <f t="array" ref="B83:D83">FINDCONCENTRATION($B82:$D82,$F$2:$H$4,$A82:$A83,0.1)</f>
        <v>0.10637832698825611</v>
      </c>
      <c r="C83" s="7">
        <v>0.21270635909344443</v>
      </c>
      <c r="D83" s="7">
        <v>9.0123704916401195</v>
      </c>
    </row>
    <row r="84" spans="1:4" x14ac:dyDescent="0.3">
      <c r="A84" s="7">
        <f t="shared" si="1"/>
        <v>77</v>
      </c>
      <c r="B84" s="7">
        <f t="array" ref="B84:D84">FINDCONCENTRATION($B83:$D83,$F$2:$H$4,$A83:$A84,0.1)</f>
        <v>9.5297336572696623E-2</v>
      </c>
      <c r="C84" s="7">
        <v>0.19055431055627797</v>
      </c>
      <c r="D84" s="7">
        <v>8.5408487445755359</v>
      </c>
    </row>
    <row r="85" spans="1:4" x14ac:dyDescent="0.3">
      <c r="A85" s="7">
        <f t="shared" si="1"/>
        <v>78</v>
      </c>
      <c r="B85" s="7">
        <f t="array" ref="B85:D85">FINDCONCENTRATION($B84:$D84,$F$2:$H$4,$A84:$A85,0.1)</f>
        <v>8.5370607105453009E-2</v>
      </c>
      <c r="C85" s="7">
        <v>0.17070882247439692</v>
      </c>
      <c r="D85" s="7">
        <v>8.0934383639089997</v>
      </c>
    </row>
    <row r="86" spans="1:4" x14ac:dyDescent="0.3">
      <c r="A86" s="7">
        <f t="shared" si="1"/>
        <v>79</v>
      </c>
      <c r="B86" s="7">
        <f t="array" ref="B86:D86">FINDCONCENTRATION($B85:$D85,$F$2:$H$4,$A85:$A86,0.1)</f>
        <v>7.6477903996760063E-2</v>
      </c>
      <c r="C86" s="7">
        <v>0.15292981301606517</v>
      </c>
      <c r="D86" s="7">
        <v>7.6689658682796882</v>
      </c>
    </row>
    <row r="87" spans="1:4" x14ac:dyDescent="0.3">
      <c r="A87" s="7">
        <f t="shared" si="1"/>
        <v>80</v>
      </c>
      <c r="B87" s="7">
        <f t="array" ref="B87:D87">FINDCONCENTRATION($B86:$D86,$F$2:$H$4,$A86:$A87,0.1)</f>
        <v>6.8511516996861727E-2</v>
      </c>
      <c r="C87" s="7">
        <v>0.13700217253565705</v>
      </c>
      <c r="D87" s="7">
        <v>7.2663084135890781</v>
      </c>
    </row>
    <row r="88" spans="1:4" x14ac:dyDescent="0.3">
      <c r="A88" s="7">
        <f t="shared" si="1"/>
        <v>81</v>
      </c>
      <c r="B88" s="7">
        <f t="array" ref="B88:D88">FINDCONCENTRATION($B87:$D87,$F$2:$H$4,$A87:$A88,0.1)</f>
        <v>6.1374955587304346E-2</v>
      </c>
      <c r="C88" s="7">
        <v>0.12273316946235246</v>
      </c>
      <c r="D88" s="7">
        <v>6.8843923482255063</v>
      </c>
    </row>
    <row r="89" spans="1:4" x14ac:dyDescent="0.3">
      <c r="A89" s="7">
        <f t="shared" si="1"/>
        <v>82</v>
      </c>
      <c r="B89" s="7">
        <f t="array" ref="B89:D89">FINDCONCENTRATION($B88:$D88,$F$2:$H$4,$A88:$A89,0.1)</f>
        <v>5.4981780267923823E-2</v>
      </c>
      <c r="C89" s="7">
        <v>0.10995012499704795</v>
      </c>
      <c r="D89" s="7">
        <v>6.522191714171087</v>
      </c>
    </row>
    <row r="90" spans="1:4" x14ac:dyDescent="0.3">
      <c r="A90" s="7">
        <f t="shared" si="1"/>
        <v>83</v>
      </c>
      <c r="B90" s="7">
        <f t="array" ref="B90:D90">FINDCONCENTRATION($B89:$D89,$F$2:$H$4,$A89:$A90,0.1)</f>
        <v>4.9254555583834528E-2</v>
      </c>
      <c r="C90" s="7">
        <v>9.8498328895218354E-2</v>
      </c>
      <c r="D90" s="7">
        <v>6.1787267105104497</v>
      </c>
    </row>
    <row r="91" spans="1:4" x14ac:dyDescent="0.3">
      <c r="A91" s="7">
        <f t="shared" si="1"/>
        <v>84</v>
      </c>
      <c r="B91" s="7">
        <f t="array" ref="B91:D91">FINDCONCENTRATION($B90:$D90,$F$2:$H$4,$A90:$A91,0.1)</f>
        <v>4.4123912211267047E-2</v>
      </c>
      <c r="C91" s="7">
        <v>8.823917144620505E-2</v>
      </c>
      <c r="D91" s="7">
        <v>5.8530621335709627</v>
      </c>
    </row>
    <row r="92" spans="1:4" x14ac:dyDescent="0.3">
      <c r="A92" s="7">
        <f t="shared" si="1"/>
        <v>85</v>
      </c>
      <c r="B92" s="7">
        <f t="array" ref="B92:D92">FINDCONCENTRATION($B91:$D91,$F$2:$H$4,$A91:$A92,0.1)</f>
        <v>3.9527706742045692E-2</v>
      </c>
      <c r="C92" s="7">
        <v>7.9048469307926944E-2</v>
      </c>
      <c r="D92" s="7">
        <v>5.5443058059007022</v>
      </c>
    </row>
    <row r="93" spans="1:4" x14ac:dyDescent="0.3">
      <c r="A93" s="7">
        <f t="shared" si="1"/>
        <v>86</v>
      </c>
      <c r="B93" s="7">
        <f t="array" ref="B93:D93">FINDCONCENTRATION($B92:$D92,$F$2:$H$4,$A92:$A93,0.1)</f>
        <v>3.5410268989842557E-2</v>
      </c>
      <c r="C93" s="7">
        <v>7.0814965147775133E-2</v>
      </c>
      <c r="D93" s="7">
        <v>5.2516070045045806</v>
      </c>
    </row>
    <row r="94" spans="1:4" x14ac:dyDescent="0.3">
      <c r="A94" s="7">
        <f t="shared" si="1"/>
        <v>87</v>
      </c>
      <c r="B94" s="7">
        <f t="array" ref="B94:D94">FINDCONCENTRATION($B93:$D93,$F$2:$H$4,$A93:$A94,0.1)</f>
        <v>3.172172770142629E-2</v>
      </c>
      <c r="C94" s="7">
        <v>6.3438983100485583E-2</v>
      </c>
      <c r="D94" s="7">
        <v>4.9741548971850911</v>
      </c>
    </row>
    <row r="95" spans="1:4" x14ac:dyDescent="0.3">
      <c r="A95" s="7">
        <f t="shared" si="1"/>
        <v>88</v>
      </c>
      <c r="B95" s="7">
        <f t="array" ref="B95:D95">FINDCONCENTRATION($B94:$D94,$F$2:$H$4,$A94:$A95,0.1)</f>
        <v>2.8417406505781818E-2</v>
      </c>
      <c r="C95" s="7">
        <v>5.6831223904842888E-2</v>
      </c>
      <c r="D95" s="7">
        <v>4.711176994448885</v>
      </c>
    </row>
    <row r="96" spans="1:4" x14ac:dyDescent="0.3">
      <c r="A96" s="7">
        <f t="shared" si="1"/>
        <v>89</v>
      </c>
      <c r="B96" s="7">
        <f t="array" ref="B96:D96">FINDCONCENTRATION($B95:$D95,$F$2:$H$4,$A95:$A96,0.1)</f>
        <v>2.545728278471231E-2</v>
      </c>
      <c r="C96" s="7">
        <v>5.0911685243812455E-2</v>
      </c>
      <c r="D96" s="7">
        <v>4.4619376232231698</v>
      </c>
    </row>
    <row r="97" spans="1:4" x14ac:dyDescent="0.3">
      <c r="A97" s="7">
        <f t="shared" si="1"/>
        <v>90</v>
      </c>
      <c r="B97" s="7">
        <f t="array" ref="B97:D97">FINDCONCENTRATION($B96:$D96,$F$2:$H$4,$A96:$A97,0.1)</f>
        <v>2.2805502910652746E-2</v>
      </c>
      <c r="C97" s="7">
        <v>4.5608694305856783E-2</v>
      </c>
      <c r="D97" s="7">
        <v>4.2257364275581644</v>
      </c>
    </row>
    <row r="98" spans="1:4" x14ac:dyDescent="0.3">
      <c r="A98" s="7">
        <f t="shared" si="1"/>
        <v>91</v>
      </c>
      <c r="B98" s="7">
        <f t="array" ref="B98:D98">FINDCONCENTRATION($B97:$D97,$F$2:$H$4,$A97:$A98,0.1)</f>
        <v>2.0429947980155901E-2</v>
      </c>
      <c r="C98" s="7">
        <v>4.0858040925711887E-2</v>
      </c>
      <c r="D98" s="7">
        <v>4.0019069005569383</v>
      </c>
    </row>
    <row r="99" spans="1:4" x14ac:dyDescent="0.3">
      <c r="A99" s="7">
        <f t="shared" si="1"/>
        <v>92</v>
      </c>
      <c r="B99" s="7">
        <f t="array" ref="B99:D99">FINDCONCENTRATION($B98:$D98,$F$2:$H$4,$A98:$A99,0.1)</f>
        <v>1.8301844783125191E-2</v>
      </c>
      <c r="C99" s="7">
        <v>3.6602200866112627E-2</v>
      </c>
      <c r="D99" s="7">
        <v>3.7898149509570587</v>
      </c>
    </row>
    <row r="100" spans="1:4" x14ac:dyDescent="0.3">
      <c r="A100" s="7">
        <f t="shared" si="1"/>
        <v>93</v>
      </c>
      <c r="B100" s="7">
        <f t="array" ref="B100:D100">FINDCONCENTRATION($B99:$D99,$F$2:$H$4,$A99:$A100,0.1)</f>
        <v>1.6395417295773786E-2</v>
      </c>
      <c r="C100" s="7">
        <v>3.2789639881702123E-2</v>
      </c>
      <c r="D100" s="7">
        <v>3.5888575070762592</v>
      </c>
    </row>
    <row r="101" spans="1:4" x14ac:dyDescent="0.3">
      <c r="A101" s="7">
        <f t="shared" si="1"/>
        <v>94</v>
      </c>
      <c r="B101" s="7">
        <f t="array" ref="B101:D101">FINDCONCENTRATION($B100:$D100,$F$2:$H$4,$A100:$A101,0.1)</f>
        <v>1.4687574476121013E-2</v>
      </c>
      <c r="C101" s="7">
        <v>2.937419017513266E-2</v>
      </c>
      <c r="D101" s="7">
        <v>3.3984611602150157</v>
      </c>
    </row>
    <row r="102" spans="1:4" x14ac:dyDescent="0.3">
      <c r="A102" s="7">
        <f t="shared" si="1"/>
        <v>95</v>
      </c>
      <c r="B102" s="7">
        <f t="array" ref="B102:D102">FINDCONCENTRATION($B101:$D101,$F$2:$H$4,$A101:$A102,0.1)</f>
        <v>1.3157630580540848E-2</v>
      </c>
      <c r="C102" s="7">
        <v>2.6314491724428138E-2</v>
      </c>
      <c r="D102" s="7">
        <v>3.2180808490718005</v>
      </c>
    </row>
    <row r="103" spans="1:4" x14ac:dyDescent="0.3">
      <c r="A103" s="7">
        <f t="shared" si="1"/>
        <v>96</v>
      </c>
      <c r="B103" s="7">
        <f t="array" ref="B103:D103">FINDCONCENTRATION($B102:$D102,$F$2:$H$4,$A102:$A103,0.1)</f>
        <v>1.178705461377892E-2</v>
      </c>
      <c r="C103" s="7">
        <v>2.3573491740179336E-2</v>
      </c>
      <c r="D103" s="7">
        <v>3.047198586262474</v>
      </c>
    </row>
    <row r="104" spans="1:4" x14ac:dyDescent="0.3">
      <c r="A104" s="7">
        <f t="shared" si="1"/>
        <v>97</v>
      </c>
      <c r="B104" s="7">
        <f t="array" ref="B104:D104">FINDCONCENTRATION($B103:$D103,$F$2:$H$4,$A103:$A104,0.1)</f>
        <v>1.0559245877725193E-2</v>
      </c>
      <c r="C104" s="7">
        <v>2.111799621022149E-2</v>
      </c>
      <c r="D104" s="7">
        <v>2.885322227635319</v>
      </c>
    </row>
    <row r="105" spans="1:4" x14ac:dyDescent="0.3">
      <c r="A105" s="7">
        <f t="shared" si="1"/>
        <v>98</v>
      </c>
      <c r="B105" s="7">
        <f t="array" ref="B105:D105">FINDCONCENTRATION($B104:$D104,$F$2:$H$4,$A104:$A105,0.1)</f>
        <v>9.4593329003428168E-3</v>
      </c>
      <c r="C105" s="7">
        <v>1.8918268116324084E-2</v>
      </c>
      <c r="D105" s="7">
        <v>2.7319842847300957</v>
      </c>
    </row>
    <row r="106" spans="1:4" x14ac:dyDescent="0.3">
      <c r="A106" s="7">
        <f t="shared" si="1"/>
        <v>99</v>
      </c>
      <c r="B106" s="7">
        <f t="array" ref="B106:D106">FINDCONCENTRATION($B105:$D105,$F$2:$H$4,$A105:$A106,0.1)</f>
        <v>8.4739933093389355E-3</v>
      </c>
      <c r="C106" s="7">
        <v>1.6947667469501982E-2</v>
      </c>
      <c r="D106" s="7">
        <v>2.5867407804364841</v>
      </c>
    </row>
    <row r="107" spans="1:4" x14ac:dyDescent="0.3">
      <c r="A107" s="7">
        <f t="shared" si="1"/>
        <v>100</v>
      </c>
      <c r="B107" s="7">
        <f t="array" ref="B107:D107">FINDCONCENTRATION($B106:$D106,$F$2:$H$4,$A106:$A107,0.1)</f>
        <v>7.5912924688503799E-3</v>
      </c>
      <c r="C107" s="7">
        <v>1.5182328814487679E-2</v>
      </c>
      <c r="D107" s="7">
        <v>2.4491701476584566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ILLIA Negovora</dc:creator>
  <cp:lastModifiedBy>ILLIA Negovora</cp:lastModifiedBy>
  <dcterms:created xsi:type="dcterms:W3CDTF">2015-06-05T18:17:20Z</dcterms:created>
  <dcterms:modified xsi:type="dcterms:W3CDTF">2020-03-18T03:35:15Z</dcterms:modified>
</cp:coreProperties>
</file>